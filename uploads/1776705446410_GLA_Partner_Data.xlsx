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LA\Downloads\"/>
    </mc:Choice>
  </mc:AlternateContent>
  <bookViews>
    <workbookView xWindow="0" yWindow="0" windowWidth="19200" windowHeight="6350" activeTab="2"/>
  </bookViews>
  <sheets>
    <sheet name="Sheet2" sheetId="3" r:id="rId1"/>
    <sheet name="Sheet3" sheetId="4" r:id="rId2"/>
    <sheet name="Partner Data" sheetId="1" r:id="rId3"/>
    <sheet name="Sheet1" sheetId="2" r:id="rId4"/>
  </sheets>
  <definedNames>
    <definedName name="_xlnm._FilterDatabase" localSheetId="2" hidden="1">'Partner Data'!$A$1:$P$41</definedName>
    <definedName name="_xlnm._FilterDatabase" localSheetId="0" hidden="1">Sheet2!$A$10:$D$30</definedName>
  </definedNames>
  <calcPr calcId="162913"/>
  <pivotCaches>
    <pivotCache cacheId="0" r:id="rId5"/>
  </pivotCaches>
</workbook>
</file>

<file path=xl/calcChain.xml><?xml version="1.0" encoding="utf-8"?>
<calcChain xmlns="http://schemas.openxmlformats.org/spreadsheetml/2006/main">
  <c r="D30" i="3" l="1"/>
  <c r="C30" i="3"/>
  <c r="B30" i="3"/>
  <c r="D7" i="3"/>
  <c r="C7" i="3"/>
  <c r="B7" i="3"/>
  <c r="N41" i="1"/>
  <c r="P41" i="1" l="1"/>
  <c r="O41" i="1"/>
</calcChain>
</file>

<file path=xl/sharedStrings.xml><?xml version="1.0" encoding="utf-8"?>
<sst xmlns="http://schemas.openxmlformats.org/spreadsheetml/2006/main" count="688" uniqueCount="314">
  <si>
    <t>S.No</t>
  </si>
  <si>
    <t>Vertical</t>
  </si>
  <si>
    <t>Partner Organization</t>
  </si>
  <si>
    <t>Name</t>
  </si>
  <si>
    <t>Mobile</t>
  </si>
  <si>
    <t>Email ID</t>
  </si>
  <si>
    <t>City</t>
  </si>
  <si>
    <t>State</t>
  </si>
  <si>
    <t>GLAET % Discount</t>
  </si>
  <si>
    <t>Discount Link</t>
  </si>
  <si>
    <t>User Name</t>
  </si>
  <si>
    <t>Password</t>
  </si>
  <si>
    <t>LMS Link</t>
  </si>
  <si>
    <t>EduConnect</t>
  </si>
  <si>
    <t>Prime Classes</t>
  </si>
  <si>
    <t>Rachit Chawla</t>
  </si>
  <si>
    <t>7017929674</t>
  </si>
  <si>
    <t>chawlarachit747@gmail.com</t>
  </si>
  <si>
    <t>Bareilly</t>
  </si>
  <si>
    <t>Uttar Pradesh</t>
  </si>
  <si>
    <t>20%</t>
  </si>
  <si>
    <t>https://tinyurl.com/mr4dvdrk</t>
  </si>
  <si>
    <t>EXT883448</t>
  </si>
  <si>
    <t>glau2026</t>
  </si>
  <si>
    <t>https://glauniversity.in:8070/</t>
  </si>
  <si>
    <t>EduInfluence</t>
  </si>
  <si>
    <t>Patna Lite</t>
  </si>
  <si>
    <t>Santu Kumar</t>
  </si>
  <si>
    <t>8210437044</t>
  </si>
  <si>
    <t>patnalitebusiness@gmail.com</t>
  </si>
  <si>
    <t>Patna</t>
  </si>
  <si>
    <t>Bihar</t>
  </si>
  <si>
    <t>https://tinyurl.com/3ufabrfr</t>
  </si>
  <si>
    <t>EXT809807</t>
  </si>
  <si>
    <t>V2 Academy</t>
  </si>
  <si>
    <t>Manish Kumar Verma</t>
  </si>
  <si>
    <t>9693781317</t>
  </si>
  <si>
    <t>v2academyadmission@gmail.com</t>
  </si>
  <si>
    <t>Nawada</t>
  </si>
  <si>
    <t>https://tinyurl.com/4hfftev7</t>
  </si>
  <si>
    <t>EXT377177</t>
  </si>
  <si>
    <t>Danial Classes</t>
  </si>
  <si>
    <t>Mohd Faraz</t>
  </si>
  <si>
    <t>7037062626</t>
  </si>
  <si>
    <t>faraz25627@gmail.com</t>
  </si>
  <si>
    <t>Moradabad</t>
  </si>
  <si>
    <t>https://tinyurl.com/p6thhhm9</t>
  </si>
  <si>
    <t>EXT486889</t>
  </si>
  <si>
    <t>Arvee Academy</t>
  </si>
  <si>
    <t>Dr. Nidhi Agarwal</t>
  </si>
  <si>
    <t>7906823316</t>
  </si>
  <si>
    <t>drnidhiaarvee@gmail.com</t>
  </si>
  <si>
    <t>Agra</t>
  </si>
  <si>
    <t>https://tinyurl.com/4sp9neev</t>
  </si>
  <si>
    <t>EXT240348</t>
  </si>
  <si>
    <t>Puneet Sir Coaching Classes</t>
  </si>
  <si>
    <t>Puneet</t>
  </si>
  <si>
    <t>8449102344</t>
  </si>
  <si>
    <t>madanpuneet20@gmail.com</t>
  </si>
  <si>
    <t>https://tinyurl.com/4jywscdz</t>
  </si>
  <si>
    <t>EXT620600</t>
  </si>
  <si>
    <t>Vidyazon</t>
  </si>
  <si>
    <t>Neeraj</t>
  </si>
  <si>
    <t>9997517305</t>
  </si>
  <si>
    <t>info@vidyazon.com</t>
  </si>
  <si>
    <t>Meerut</t>
  </si>
  <si>
    <t>https://tinyurl.com/3anewun2</t>
  </si>
  <si>
    <t>EXT743224</t>
  </si>
  <si>
    <t>Sparshified</t>
  </si>
  <si>
    <t>Sparsh Maheshwari</t>
  </si>
  <si>
    <t>9045610656</t>
  </si>
  <si>
    <t>sparshified@gmail.com</t>
  </si>
  <si>
    <t>Badaun</t>
  </si>
  <si>
    <t>https://tinyurl.com/yep5ymvc</t>
  </si>
  <si>
    <t>EXT385806</t>
  </si>
  <si>
    <t>Kota Classes</t>
  </si>
  <si>
    <t>Rajiv Ranjan Verma</t>
  </si>
  <si>
    <t>9012783552</t>
  </si>
  <si>
    <t>rajiv.ranjan.kota@gmail.com</t>
  </si>
  <si>
    <t>Haridwar</t>
  </si>
  <si>
    <t>Uttarakhand</t>
  </si>
  <si>
    <t>https://tinyurl.com/yceu3u66</t>
  </si>
  <si>
    <t>EXT634100</t>
  </si>
  <si>
    <t>EduElite</t>
  </si>
  <si>
    <t>Success Institute Rishikesh</t>
  </si>
  <si>
    <t>Sandeep Kumar</t>
  </si>
  <si>
    <t>9760849986</t>
  </si>
  <si>
    <t>sundeepbarthwal@gmail.com</t>
  </si>
  <si>
    <t>Dehradun</t>
  </si>
  <si>
    <t>https://tinyurl.com/yjs979d3</t>
  </si>
  <si>
    <t>EXT145006</t>
  </si>
  <si>
    <t>EduConsultant</t>
  </si>
  <si>
    <t>Pratibha</t>
  </si>
  <si>
    <t>9528098180</t>
  </si>
  <si>
    <t>charanmba@gmail.com</t>
  </si>
  <si>
    <t>0%</t>
  </si>
  <si>
    <t>https://tinyurl.com/45kz6hnz</t>
  </si>
  <si>
    <t>EXT523390</t>
  </si>
  <si>
    <t>S &amp; A Consultant</t>
  </si>
  <si>
    <t>9760366600</t>
  </si>
  <si>
    <t>samaychaudhary21@gmail.com</t>
  </si>
  <si>
    <t>https://tinyurl.com/2ynvjjd7</t>
  </si>
  <si>
    <t>EXT581441</t>
  </si>
  <si>
    <t>DILPREET TUTORIALS</t>
  </si>
  <si>
    <t>RIMMI</t>
  </si>
  <si>
    <t>9897452325</t>
  </si>
  <si>
    <t>raminderkaur474@gmail.com</t>
  </si>
  <si>
    <t>https://tinyurl.com/3evup8f9</t>
  </si>
  <si>
    <t>EXT850326</t>
  </si>
  <si>
    <t>Shubhi Rastogi</t>
  </si>
  <si>
    <t>rshubhi5@gmail.com</t>
  </si>
  <si>
    <t>https://tinyurl.com/3twbuu7p</t>
  </si>
  <si>
    <t>EXT568698</t>
  </si>
  <si>
    <t>Gurukul Classes</t>
  </si>
  <si>
    <t>Vaibhav Agarwal</t>
  </si>
  <si>
    <t>9997010602</t>
  </si>
  <si>
    <t>GURUKULCOACHINGC@GMAIL.COM</t>
  </si>
  <si>
    <t>https://tinyurl.com/3r2x4zad</t>
  </si>
  <si>
    <t>EXT541719</t>
  </si>
  <si>
    <t>Physics Radar</t>
  </si>
  <si>
    <t>Gaurav Kumar</t>
  </si>
  <si>
    <t>8477008479</t>
  </si>
  <si>
    <t>contactphysicsradar@gmail.com</t>
  </si>
  <si>
    <t>https://tinyurl.com/4r4mf2sr</t>
  </si>
  <si>
    <t>EXT485039</t>
  </si>
  <si>
    <t>Mediit Coaching</t>
  </si>
  <si>
    <t>Vishal Varshney</t>
  </si>
  <si>
    <t>9368239800</t>
  </si>
  <si>
    <t>mediiteducation@gmail.com</t>
  </si>
  <si>
    <t>https://tinyurl.com/yeydtymj</t>
  </si>
  <si>
    <t>EXT374234</t>
  </si>
  <si>
    <t>N.S.C. Coaching</t>
  </si>
  <si>
    <t>Amit Gupta</t>
  </si>
  <si>
    <t>9411088021</t>
  </si>
  <si>
    <t>amit.nsc.gupta@gmail.com</t>
  </si>
  <si>
    <t>https://tinyurl.com/bdf6n45f</t>
  </si>
  <si>
    <t>EXT835587</t>
  </si>
  <si>
    <t>Kota ki Baat</t>
  </si>
  <si>
    <t>Mahesh Kumar Meena</t>
  </si>
  <si>
    <t>8890707033</t>
  </si>
  <si>
    <t>Maheshmeena2067@gmail.com</t>
  </si>
  <si>
    <t>Kota</t>
  </si>
  <si>
    <t>https://tinyurl.com/43fndr3f</t>
  </si>
  <si>
    <t>EXT295711</t>
  </si>
  <si>
    <t>Sambhal Memes</t>
  </si>
  <si>
    <t>Abu Azhar</t>
  </si>
  <si>
    <t>9412397726</t>
  </si>
  <si>
    <t>abuzaransari4562@gamil.com</t>
  </si>
  <si>
    <t>Sambhal</t>
  </si>
  <si>
    <t>https://tinyurl.com/ycwy4yz8</t>
  </si>
  <si>
    <t>EXT749107</t>
  </si>
  <si>
    <t>SKILLEDGE LEARNING INSTITUTE</t>
  </si>
  <si>
    <t>Vivek Mishra</t>
  </si>
  <si>
    <t>6394166169</t>
  </si>
  <si>
    <t>vivek.esda@gmail.com</t>
  </si>
  <si>
    <t>Haldwani</t>
  </si>
  <si>
    <t>https://tinyurl.com/mr4dwjz5</t>
  </si>
  <si>
    <t>EXT705126</t>
  </si>
  <si>
    <t>Education Point</t>
  </si>
  <si>
    <t>Jitendra Rastogi</t>
  </si>
  <si>
    <t>9837103981</t>
  </si>
  <si>
    <t>jitendrarastogi138@gmail.com</t>
  </si>
  <si>
    <t>https://tinyurl.com/h3496u82</t>
  </si>
  <si>
    <t>EXT442926</t>
  </si>
  <si>
    <t>Vision Classes</t>
  </si>
  <si>
    <t>Mamtesh Maheshwari</t>
  </si>
  <si>
    <t>9837608130</t>
  </si>
  <si>
    <t>mamtesh31@gmail.com</t>
  </si>
  <si>
    <t>https://tinyurl.com/2dpbtmw7</t>
  </si>
  <si>
    <t>EXT683333</t>
  </si>
  <si>
    <t>Amar Sharma</t>
  </si>
  <si>
    <t>College Guider Private Limited</t>
  </si>
  <si>
    <t>Anup Kumar Vishal</t>
  </si>
  <si>
    <t>8434998877</t>
  </si>
  <si>
    <t>anupvishal15@gmail.com</t>
  </si>
  <si>
    <t>https://tinyurl.com/yk5m76x3</t>
  </si>
  <si>
    <t>EXT528775</t>
  </si>
  <si>
    <t>uttrakhand dotcom</t>
  </si>
  <si>
    <t>Keshav Bharti</t>
  </si>
  <si>
    <t>7017869738</t>
  </si>
  <si>
    <t>Kbharti150696@gmail.com</t>
  </si>
  <si>
    <t>Rudrapur</t>
  </si>
  <si>
    <t>https://tinyurl.com/cbda6tja</t>
  </si>
  <si>
    <t>EXT721255</t>
  </si>
  <si>
    <t>Kunal Gautam</t>
  </si>
  <si>
    <t>8279955688</t>
  </si>
  <si>
    <t>anishksagar01@gmail.com</t>
  </si>
  <si>
    <t>Chandausi</t>
  </si>
  <si>
    <t>https://tinyurl.com/yaf46yre</t>
  </si>
  <si>
    <t>EXT550591</t>
  </si>
  <si>
    <t>Shashank Chaudhary</t>
  </si>
  <si>
    <t>Chandausi Wala Vlog</t>
  </si>
  <si>
    <t>Ankit</t>
  </si>
  <si>
    <t>9058538649</t>
  </si>
  <si>
    <t>sharmarahul081345@gmail.com</t>
  </si>
  <si>
    <t>https://tinyurl.com/4myvzpaj</t>
  </si>
  <si>
    <t>EXT803125</t>
  </si>
  <si>
    <t>Rudrapur Wale</t>
  </si>
  <si>
    <t>Raunak Verma</t>
  </si>
  <si>
    <t>9795799349</t>
  </si>
  <si>
    <t>raunakverma283@gmail.com</t>
  </si>
  <si>
    <t>https://tinyurl.com/u52tfx4k</t>
  </si>
  <si>
    <t>EXT410697</t>
  </si>
  <si>
    <t>We Won Academy</t>
  </si>
  <si>
    <t>Aman Mishra</t>
  </si>
  <si>
    <t>8574483110</t>
  </si>
  <si>
    <t>wewonacademyhelpdesk@gmail.com</t>
  </si>
  <si>
    <t>Noida</t>
  </si>
  <si>
    <t>https://tinyurl.com/4x26ecfx</t>
  </si>
  <si>
    <t>EXT700370</t>
  </si>
  <si>
    <t>Leads</t>
  </si>
  <si>
    <t>Application Paid</t>
  </si>
  <si>
    <t>Admissions</t>
  </si>
  <si>
    <t>Kapila Institute</t>
  </si>
  <si>
    <t>Meena Kapila</t>
  </si>
  <si>
    <t>kapila.physics@gmail.com</t>
  </si>
  <si>
    <t>Kashipur</t>
  </si>
  <si>
    <t>https://tinyurl.com/mw87y2ty</t>
  </si>
  <si>
    <t>EXT436285</t>
  </si>
  <si>
    <t>Chandausi Mini Vrindavan</t>
  </si>
  <si>
    <t>Anmol Agarwal</t>
  </si>
  <si>
    <t>anmolagarwal386@gmail.com</t>
  </si>
  <si>
    <t>https://tinyurl.com/3ke89z7c</t>
  </si>
  <si>
    <t>EXT699547</t>
  </si>
  <si>
    <t>Ekta Sharma</t>
  </si>
  <si>
    <t>Frenzet Global</t>
  </si>
  <si>
    <t>Sonu Kumar</t>
  </si>
  <si>
    <t>frenzetglobal@gmail.com</t>
  </si>
  <si>
    <t>Greater Noida</t>
  </si>
  <si>
    <t>https://tinyurl.com/bdd3ty82</t>
  </si>
  <si>
    <t>EXT585024</t>
  </si>
  <si>
    <t>College Jankari</t>
  </si>
  <si>
    <t>Sandeep Singh Panwar</t>
  </si>
  <si>
    <t>collegejankari@gmail.com</t>
  </si>
  <si>
    <t>https://tinyurl.com/49k6rvuv</t>
  </si>
  <si>
    <t>EXT202258</t>
  </si>
  <si>
    <t>Amit Shankhdahr</t>
  </si>
  <si>
    <t>Shiksha nerd</t>
  </si>
  <si>
    <t>Neha Awana</t>
  </si>
  <si>
    <t>Shikshanerd@gmail.com</t>
  </si>
  <si>
    <t>Academy of Science</t>
  </si>
  <si>
    <t>Vivek Upadhyay</t>
  </si>
  <si>
    <t>vivekupadhyayy@gmail.com</t>
  </si>
  <si>
    <t>https://tinyurl.com/bdfzytjy</t>
  </si>
  <si>
    <t>EXT264494</t>
  </si>
  <si>
    <t>Traveler Bird</t>
  </si>
  <si>
    <t>Neeru Kaushal</t>
  </si>
  <si>
    <t>travelerbirdkd@gmail.com</t>
  </si>
  <si>
    <t>Jalandhar</t>
  </si>
  <si>
    <t>Punjab</t>
  </si>
  <si>
    <t>https://tinyurl.com/5xs79ux8</t>
  </si>
  <si>
    <t>EXT709618</t>
  </si>
  <si>
    <t>EduInfluence </t>
  </si>
  <si>
    <t>TheParenthoodJournal</t>
  </si>
  <si>
    <t>Anchal Jindal</t>
  </si>
  <si>
    <t>connect@anchaljindal.com</t>
  </si>
  <si>
    <t>https://tinyurl.com/ycy5wh8a</t>
  </si>
  <si>
    <t>  EXT119736</t>
  </si>
  <si>
    <t>Boring Bing</t>
  </si>
  <si>
    <t>Jay Prasad Singh</t>
  </si>
  <si>
    <t>mypalhelpforyou@gmail.com</t>
  </si>
  <si>
    <t>https://tinyurl.com/59frtzjy</t>
  </si>
  <si>
    <t>EXT614379</t>
  </si>
  <si>
    <t>AV Classes of Physics</t>
  </si>
  <si>
    <t>Anshul Valecha</t>
  </si>
  <si>
    <t>anshul.phy.iitg@gmail.com</t>
  </si>
  <si>
    <t>Hisar</t>
  </si>
  <si>
    <t>Haryana</t>
  </si>
  <si>
    <t>https://tinyurl.com/mvw3fzfz</t>
  </si>
  <si>
    <t>EXT127552</t>
  </si>
  <si>
    <t>Namaste Bareilly</t>
  </si>
  <si>
    <t>Prashant Sharma</t>
  </si>
  <si>
    <t>namastebareilly@gmail.com</t>
  </si>
  <si>
    <t>https://tinyurl.com/4f8m7z88</t>
  </si>
  <si>
    <t>EXT916554</t>
  </si>
  <si>
    <t>Grand Total</t>
  </si>
  <si>
    <t>Row Labels</t>
  </si>
  <si>
    <t>(blank)</t>
  </si>
  <si>
    <t>Sum of Leads</t>
  </si>
  <si>
    <t>Sum of Application Paid</t>
  </si>
  <si>
    <t>Sum of Admissions</t>
  </si>
  <si>
    <t>Verticals</t>
  </si>
  <si>
    <t>Leades</t>
  </si>
  <si>
    <t>Applications Paid</t>
  </si>
  <si>
    <t>Cities</t>
  </si>
  <si>
    <t>S.No.</t>
  </si>
  <si>
    <t>Initiated By: </t>
  </si>
  <si>
    <t>Career Mantra</t>
  </si>
  <si>
    <t>Alisha Ahmad</t>
  </si>
  <si>
    <t>alisha@careermantraedu.in</t>
  </si>
  <si>
    <t>EduInfulence</t>
  </si>
  <si>
    <t>Soni Academy</t>
  </si>
  <si>
    <t>Soni Shukla</t>
  </si>
  <si>
    <t>shuklasoni2525@gmail.com</t>
  </si>
  <si>
    <t>Siwan</t>
  </si>
  <si>
    <t>HS Academy</t>
  </si>
  <si>
    <t>Harsh Shukla</t>
  </si>
  <si>
    <t>hershu0000@gmail.com</t>
  </si>
  <si>
    <t>Kanpur</t>
  </si>
  <si>
    <t>Amit Pandey Classes</t>
  </si>
  <si>
    <t>Amit Pandey</t>
  </si>
  <si>
    <t>rachana.pandey115@gmail.com</t>
  </si>
  <si>
    <t>Sum</t>
  </si>
  <si>
    <t>Average</t>
  </si>
  <si>
    <t>Running Total</t>
  </si>
  <si>
    <t>Count</t>
  </si>
  <si>
    <t>https://tinyurl.com/yjuf8f77</t>
  </si>
  <si>
    <t>EXT523803</t>
  </si>
  <si>
    <t>https://tinyurl.com/354jpfdp</t>
  </si>
  <si>
    <t>EXT521060</t>
  </si>
  <si>
    <t>https://tinyurl.com/bdenm6rx</t>
  </si>
  <si>
    <t>  EXT461115</t>
  </si>
  <si>
    <t>https://tinyurl.com/5n7raaax</t>
  </si>
  <si>
    <t>EXT888085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</si>
</sst>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0"/>
      <color rgb="FF000000"/>
      <name val="Arial"/>
      <family val="2"/>
    </font>
    <font>
      <sz val="12"/>
      <name val="Times New Roman"/>
      <family val="1"/>
    </font>
    <font>
      <sz val="10"/>
      <name val="Arial"/>
      <family val="2"/>
    </font>
    <font>
      <u/>
      <sz val="12"/>
      <color rgb="FF467886"/>
      <name val="Times New Roman"/>
      <family val="1"/>
    </font>
    <font>
      <u/>
      <sz val="11"/>
      <color theme="10"/>
      <name val="Calibri"/>
      <family val="2"/>
      <scheme val="minor"/>
    </font>
    <font>
      <sz val="12"/>
      <color rgb="FF888888"/>
      <name val="Arial"/>
      <family val="2"/>
    </font>
    <font>
      <sz val="10"/>
      <color rgb="FF202124"/>
      <name val="Arial"/>
      <family val="2"/>
    </font>
    <font>
      <sz val="12"/>
      <color rgb="FF202124"/>
      <name val="Arial"/>
      <family val="2"/>
    </font>
    <font>
      <b/>
      <sz val="10"/>
      <color rgb="FF6AA84F"/>
      <name val="Courier New"/>
      <family val="3"/>
    </font>
    <font>
      <b/>
      <sz val="10"/>
      <color rgb="FF38761D"/>
      <name val="Courier New"/>
      <family val="3"/>
    </font>
    <font>
      <b/>
      <sz val="7.5"/>
      <color rgb="FF38761D"/>
      <name val="Courier New"/>
      <family val="3"/>
    </font>
    <font>
      <sz val="11"/>
      <color rgb="FF222222"/>
      <name val="Arial"/>
      <family val="2"/>
    </font>
    <font>
      <sz val="11"/>
      <color theme="1"/>
      <name val="Arial"/>
      <family val="2"/>
    </font>
    <font>
      <b/>
      <sz val="12"/>
      <color rgb="FF000000"/>
      <name val="Times New Roman"/>
      <family val="1"/>
    </font>
    <font>
      <sz val="10"/>
      <color theme="1"/>
      <name val="Arial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6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7" fillId="0" borderId="2" xfId="1" applyBorder="1" applyAlignment="1">
      <alignment horizontal="center" vertical="center" wrapText="1"/>
    </xf>
    <xf numFmtId="9" fontId="2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7" fillId="0" borderId="3" xfId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7" fillId="2" borderId="2" xfId="1" applyFill="1" applyBorder="1" applyAlignment="1">
      <alignment horizontal="center" vertical="center" wrapText="1"/>
    </xf>
    <xf numFmtId="9" fontId="4" fillId="2" borderId="2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top" wrapText="1"/>
    </xf>
    <xf numFmtId="0" fontId="1" fillId="0" borderId="1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7" fillId="0" borderId="1" xfId="1" applyBorder="1"/>
    <xf numFmtId="0" fontId="1" fillId="3" borderId="5" xfId="0" applyFont="1" applyFill="1" applyBorder="1" applyAlignment="1">
      <alignment horizontal="center" wrapText="1"/>
    </xf>
    <xf numFmtId="0" fontId="1" fillId="3" borderId="6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16" fillId="4" borderId="1" xfId="0" applyFont="1" applyFill="1" applyBorder="1" applyAlignment="1">
      <alignment horizontal="center" vertical="center" wrapText="1"/>
    </xf>
    <xf numFmtId="0" fontId="16" fillId="4" borderId="7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7" fillId="4" borderId="9" xfId="1" applyFill="1" applyBorder="1" applyAlignment="1">
      <alignment horizontal="center"/>
    </xf>
    <xf numFmtId="0" fontId="7" fillId="4" borderId="9" xfId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wrapText="1"/>
    </xf>
    <xf numFmtId="0" fontId="2" fillId="4" borderId="1" xfId="0" applyFont="1" applyFill="1" applyBorder="1" applyAlignment="1">
      <alignment horizontal="center" vertical="center" wrapText="1"/>
    </xf>
    <xf numFmtId="0" fontId="7" fillId="4" borderId="1" xfId="1" applyFill="1" applyBorder="1" applyAlignment="1">
      <alignment horizontal="center" vertical="center" wrapText="1"/>
    </xf>
    <xf numFmtId="0" fontId="0" fillId="4" borderId="1" xfId="0" applyFill="1" applyBorder="1"/>
    <xf numFmtId="9" fontId="2" fillId="4" borderId="1" xfId="0" applyNumberFormat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0" fontId="18" fillId="4" borderId="8" xfId="0" applyFont="1" applyFill="1" applyBorder="1" applyAlignment="1">
      <alignment horizontal="center"/>
    </xf>
    <xf numFmtId="0" fontId="3" fillId="4" borderId="9" xfId="0" applyFont="1" applyFill="1" applyBorder="1" applyAlignment="1">
      <alignment wrapText="1"/>
    </xf>
    <xf numFmtId="0" fontId="3" fillId="4" borderId="9" xfId="0" applyFont="1" applyFill="1" applyBorder="1" applyAlignment="1">
      <alignment horizontal="right" wrapText="1"/>
    </xf>
    <xf numFmtId="0" fontId="7" fillId="4" borderId="9" xfId="1" applyFill="1" applyBorder="1" applyAlignment="1">
      <alignment wrapText="1"/>
    </xf>
    <xf numFmtId="9" fontId="2" fillId="4" borderId="9" xfId="0" applyNumberFormat="1" applyFont="1" applyFill="1" applyBorder="1" applyAlignment="1">
      <alignment horizontal="center" vertical="center" wrapText="1"/>
    </xf>
    <xf numFmtId="0" fontId="18" fillId="4" borderId="9" xfId="0" applyFont="1" applyFill="1" applyBorder="1"/>
    <xf numFmtId="9" fontId="18" fillId="4" borderId="9" xfId="0" applyNumberFormat="1" applyFont="1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applyFill="1"/>
    <xf numFmtId="0" fontId="18" fillId="5" borderId="8" xfId="0" applyFont="1" applyFill="1" applyBorder="1" applyAlignment="1">
      <alignment horizontal="center"/>
    </xf>
    <xf numFmtId="0" fontId="3" fillId="5" borderId="9" xfId="0" applyFont="1" applyFill="1" applyBorder="1" applyAlignment="1">
      <alignment wrapText="1"/>
    </xf>
    <xf numFmtId="0" fontId="3" fillId="5" borderId="9" xfId="0" applyFont="1" applyFill="1" applyBorder="1" applyAlignment="1">
      <alignment horizontal="right" wrapText="1"/>
    </xf>
    <xf numFmtId="0" fontId="7" fillId="5" borderId="9" xfId="1" applyFill="1" applyBorder="1" applyAlignment="1">
      <alignment wrapText="1"/>
    </xf>
    <xf numFmtId="9" fontId="18" fillId="5" borderId="9" xfId="0" applyNumberFormat="1" applyFont="1" applyFill="1" applyBorder="1" applyAlignment="1">
      <alignment horizontal="center"/>
    </xf>
    <xf numFmtId="0" fontId="7" fillId="5" borderId="9" xfId="1" applyFill="1" applyBorder="1" applyAlignment="1">
      <alignment horizontal="center"/>
    </xf>
    <xf numFmtId="0" fontId="2" fillId="5" borderId="9" xfId="0" applyFont="1" applyFill="1" applyBorder="1" applyAlignment="1">
      <alignment horizontal="center" vertical="center" wrapText="1"/>
    </xf>
    <xf numFmtId="0" fontId="7" fillId="5" borderId="9" xfId="1" applyFill="1" applyBorder="1" applyAlignment="1">
      <alignment horizontal="center" vertical="center" wrapText="1"/>
    </xf>
    <xf numFmtId="0" fontId="18" fillId="5" borderId="9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45</xdr:row>
      <xdr:rowOff>0</xdr:rowOff>
    </xdr:from>
    <xdr:to>
      <xdr:col>1</xdr:col>
      <xdr:colOff>590550</xdr:colOff>
      <xdr:row>48</xdr:row>
      <xdr:rowOff>95250</xdr:rowOff>
    </xdr:to>
    <xdr:sp macro="" textlink="">
      <xdr:nvSpPr>
        <xdr:cNvPr id="1025" name="AutoShape 1" descr="https://ci3.googleusercontent.com/mail-sig/AIorK4z7ZLVNmAVWBSTArRW6_a5bpvaeYXr5ySx3xyug-pMXZAN3zKJGuMCSd1DcoUighJXOx5kScm37JNt_"/>
        <xdr:cNvSpPr>
          <a:spLocks noChangeAspect="1" noChangeArrowheads="1"/>
        </xdr:cNvSpPr>
      </xdr:nvSpPr>
      <xdr:spPr bwMode="auto">
        <a:xfrm>
          <a:off x="0" y="11315700"/>
          <a:ext cx="914400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GLA" refreshedDate="46128.418139120367" createdVersion="6" refreshedVersion="6" minRefreshableVersion="3" recordCount="40">
  <cacheSource type="worksheet">
    <worksheetSource ref="A1:P41" sheet="Partner Data"/>
  </cacheSource>
  <cacheFields count="16">
    <cacheField name="S.No" numFmtId="0">
      <sharedItems containsMixedTypes="1" containsNumber="1" containsInteger="1" minValue="1" maxValue="39"/>
    </cacheField>
    <cacheField name="Vertical" numFmtId="0">
      <sharedItems containsBlank="1"/>
    </cacheField>
    <cacheField name="Partner Organization" numFmtId="0">
      <sharedItems containsBlank="1"/>
    </cacheField>
    <cacheField name="Name" numFmtId="0">
      <sharedItems containsBlank="1"/>
    </cacheField>
    <cacheField name="Mobile" numFmtId="0">
      <sharedItems containsBlank="1" containsMixedTypes="1" containsNumber="1" containsInteger="1" minValue="7017126271" maxValue="9927025888"/>
    </cacheField>
    <cacheField name="Email ID" numFmtId="0">
      <sharedItems containsBlank="1"/>
    </cacheField>
    <cacheField name="City" numFmtId="0">
      <sharedItems containsBlank="1" count="20">
        <s v="Bareilly"/>
        <s v="Patna"/>
        <s v="Nawada"/>
        <s v="Moradabad"/>
        <s v="Agra"/>
        <s v="Meerut"/>
        <s v="Badaun"/>
        <s v="Haridwar"/>
        <s v="Dehradun"/>
        <s v="Kota"/>
        <s v="Sambhal"/>
        <s v="Haldwani"/>
        <s v="Rudrapur"/>
        <s v="Chandausi"/>
        <s v="Noida"/>
        <s v="Kashipur"/>
        <s v="Greater Noida"/>
        <s v="Jalandhar"/>
        <s v="Hisar"/>
        <m/>
      </sharedItems>
    </cacheField>
    <cacheField name="State" numFmtId="0">
      <sharedItems containsBlank="1"/>
    </cacheField>
    <cacheField name="GLAET % Discount" numFmtId="0">
      <sharedItems containsBlank="1" containsMixedTypes="1" containsNumber="1" containsInteger="1" minValue="0" maxValue="0"/>
    </cacheField>
    <cacheField name="Discount Link" numFmtId="0">
      <sharedItems containsBlank="1"/>
    </cacheField>
    <cacheField name="User Name" numFmtId="0">
      <sharedItems containsBlank="1"/>
    </cacheField>
    <cacheField name="Password" numFmtId="0">
      <sharedItems containsBlank="1"/>
    </cacheField>
    <cacheField name="LMS Link" numFmtId="0">
      <sharedItems containsBlank="1"/>
    </cacheField>
    <cacheField name="Leads" numFmtId="0">
      <sharedItems containsSemiMixedTypes="0" containsString="0" containsNumber="1" containsInteger="1" minValue="0" maxValue="119"/>
    </cacheField>
    <cacheField name="Application Paid" numFmtId="0">
      <sharedItems containsSemiMixedTypes="0" containsString="0" containsNumber="1" containsInteger="1" minValue="0" maxValue="44"/>
    </cacheField>
    <cacheField name="Admissions" numFmtId="0">
      <sharedItems containsSemiMixedTypes="0" containsString="0" containsNumber="1" containsInteger="1" minValue="0" maxValue="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0">
  <r>
    <n v="1"/>
    <s v="EduConnect"/>
    <s v="Prime Classes"/>
    <s v="Rachit Chawla"/>
    <s v="7017929674"/>
    <s v="chawlarachit747@gmail.com"/>
    <x v="0"/>
    <s v="Uttar Pradesh"/>
    <s v="20%"/>
    <s v="https://tinyurl.com/mr4dvdrk"/>
    <s v="EXT883448"/>
    <s v="glau2026"/>
    <s v="https://glauniversity.in:8070/"/>
    <n v="3"/>
    <n v="2"/>
    <n v="1"/>
  </r>
  <r>
    <n v="2"/>
    <s v="EduInfluence"/>
    <s v="Patna Lite"/>
    <s v="Santu Kumar"/>
    <s v="8210437044"/>
    <s v="patnalitebusiness@gmail.com"/>
    <x v="1"/>
    <s v="Bihar"/>
    <s v="20%"/>
    <s v="https://tinyurl.com/3ufabrfr"/>
    <s v="EXT809807"/>
    <s v="glau2026"/>
    <s v="https://glauniversity.in:8070/"/>
    <n v="2"/>
    <n v="1"/>
    <n v="0"/>
  </r>
  <r>
    <n v="3"/>
    <s v="EduInfluence"/>
    <s v="V2 Academy"/>
    <s v="Manish Kumar Verma"/>
    <s v="9693781317"/>
    <s v="v2academyadmission@gmail.com"/>
    <x v="2"/>
    <s v="Bihar"/>
    <s v="20%"/>
    <s v="https://tinyurl.com/4hfftev7"/>
    <s v="EXT377177"/>
    <s v="glau2026"/>
    <s v="https://glauniversity.in:8070/"/>
    <n v="76"/>
    <n v="22"/>
    <n v="4"/>
  </r>
  <r>
    <n v="4"/>
    <s v="EduConnect"/>
    <s v="Danial Classes"/>
    <s v="Mohd Faraz"/>
    <s v="7037062626"/>
    <s v="faraz25627@gmail.com"/>
    <x v="3"/>
    <s v="Uttar Pradesh"/>
    <s v="20%"/>
    <s v="https://tinyurl.com/p6thhhm9"/>
    <s v="EXT486889"/>
    <s v="glau2026"/>
    <s v="https://glauniversity.in:8070/"/>
    <n v="0"/>
    <n v="0"/>
    <n v="0"/>
  </r>
  <r>
    <n v="5"/>
    <s v="EduConnect"/>
    <s v="Arvee Academy"/>
    <s v="Dr. Nidhi Agarwal"/>
    <s v="7906823316"/>
    <s v="drnidhiaarvee@gmail.com"/>
    <x v="4"/>
    <s v="Uttar Pradesh"/>
    <s v="20%"/>
    <s v="https://tinyurl.com/4sp9neev"/>
    <s v="EXT240348"/>
    <s v="glau2026"/>
    <s v="https://glauniversity.in:8070/"/>
    <n v="0"/>
    <n v="0"/>
    <n v="0"/>
  </r>
  <r>
    <n v="6"/>
    <s v="EduConnect"/>
    <s v="Puneet Sir Coaching Classes"/>
    <s v="Puneet"/>
    <s v="8449102344"/>
    <s v="madanpuneet20@gmail.com"/>
    <x v="3"/>
    <s v="Uttar Pradesh"/>
    <s v="20%"/>
    <s v="https://tinyurl.com/4jywscdz"/>
    <s v="EXT620600"/>
    <s v="glau2026"/>
    <s v="https://glauniversity.in:8070/"/>
    <n v="5"/>
    <n v="4"/>
    <n v="1"/>
  </r>
  <r>
    <n v="7"/>
    <s v="EduInfluence"/>
    <s v="Vidyazon"/>
    <s v="Neeraj"/>
    <s v="9997517305"/>
    <s v="info@vidyazon.com"/>
    <x v="5"/>
    <s v="Uttar Pradesh"/>
    <s v="20%"/>
    <s v="https://tinyurl.com/3anewun2"/>
    <s v="EXT743224"/>
    <s v="glau2026"/>
    <s v="https://glauniversity.in:8070/"/>
    <n v="0"/>
    <n v="0"/>
    <n v="0"/>
  </r>
  <r>
    <n v="8"/>
    <s v="EduInfluence"/>
    <s v="Sparshified"/>
    <s v="Sparsh Maheshwari"/>
    <s v="9045610656"/>
    <s v="sparshified@gmail.com"/>
    <x v="6"/>
    <s v="Uttar Pradesh"/>
    <s v="20%"/>
    <s v="https://tinyurl.com/yep5ymvc"/>
    <s v="EXT385806"/>
    <s v="glau2026"/>
    <s v="https://glauniversity.in:8070/"/>
    <n v="10"/>
    <n v="4"/>
    <n v="1"/>
  </r>
  <r>
    <n v="9"/>
    <s v="EduConnect"/>
    <s v="Kota Classes"/>
    <s v="Rajiv Ranjan Verma"/>
    <s v="9012783552"/>
    <s v="rajiv.ranjan.kota@gmail.com"/>
    <x v="7"/>
    <s v="Uttarakhand"/>
    <s v="20%"/>
    <s v="https://tinyurl.com/yceu3u66"/>
    <s v="EXT634100"/>
    <s v="glau2026"/>
    <s v="https://glauniversity.in:8070/"/>
    <n v="0"/>
    <n v="0"/>
    <n v="0"/>
  </r>
  <r>
    <n v="10"/>
    <s v="EduElite"/>
    <s v="Success Institute Rishikesh"/>
    <s v="Sandeep Kumar"/>
    <s v="9760849986"/>
    <s v="sundeepbarthwal@gmail.com"/>
    <x v="8"/>
    <s v="Uttarakhand"/>
    <s v="20%"/>
    <s v="https://tinyurl.com/yjs979d3"/>
    <s v="EXT145006"/>
    <s v="glau2026"/>
    <s v="https://glauniversity.in:8070/"/>
    <n v="8"/>
    <n v="4"/>
    <n v="0"/>
  </r>
  <r>
    <n v="11"/>
    <s v="EduConsultant"/>
    <s v="Pratibha"/>
    <s v="Pratibha"/>
    <s v="9528098180"/>
    <s v="charanmba@gmail.com"/>
    <x v="8"/>
    <s v="Uttarakhand"/>
    <s v="0%"/>
    <s v="https://tinyurl.com/45kz6hnz"/>
    <s v="EXT523390"/>
    <s v="glau2026"/>
    <s v="https://glauniversity.in:8070/"/>
    <n v="1"/>
    <n v="1"/>
    <n v="0"/>
  </r>
  <r>
    <n v="12"/>
    <s v="EduConsultant"/>
    <s v="S &amp; A Consultant"/>
    <s v="Sandeep Kumar"/>
    <s v="9760366600"/>
    <s v="samaychaudhary21@gmail.com"/>
    <x v="8"/>
    <s v="Uttarakhand"/>
    <s v="0%"/>
    <s v="https://tinyurl.com/2ynvjjd7"/>
    <s v="EXT581441"/>
    <s v="glau2026"/>
    <s v="https://glauniversity.in:8070/"/>
    <n v="0"/>
    <n v="0"/>
    <n v="0"/>
  </r>
  <r>
    <n v="13"/>
    <s v="EduConsultant"/>
    <s v="DILPREET TUTORIALS"/>
    <s v="RIMMI"/>
    <s v="9897452325"/>
    <s v="raminderkaur474@gmail.com"/>
    <x v="8"/>
    <s v="Uttarakhand"/>
    <s v="0%"/>
    <s v="https://tinyurl.com/3evup8f9"/>
    <s v="EXT850326"/>
    <s v="glau2026"/>
    <s v="https://glauniversity.in:8070/"/>
    <n v="0"/>
    <n v="0"/>
    <n v="0"/>
  </r>
  <r>
    <n v="14"/>
    <s v="EduConnect"/>
    <s v="Shubhi Rastogi"/>
    <s v="Shubhi Rastogi"/>
    <m/>
    <s v="rshubhi5@gmail.com"/>
    <x v="3"/>
    <s v="Uttar Pradesh"/>
    <s v="20%"/>
    <s v="https://tinyurl.com/3twbuu7p"/>
    <s v="EXT568698"/>
    <s v="glau2026"/>
    <s v="https://glauniversity.in:8070/"/>
    <n v="0"/>
    <n v="0"/>
    <n v="0"/>
  </r>
  <r>
    <n v="15"/>
    <s v="EduConnect"/>
    <s v="Gurukul Classes"/>
    <s v="Vaibhav Agarwal"/>
    <s v="9997010602"/>
    <s v="GURUKULCOACHINGC@GMAIL.COM"/>
    <x v="0"/>
    <s v="Uttar Pradesh"/>
    <s v="20%"/>
    <s v="https://tinyurl.com/3r2x4zad"/>
    <s v="EXT541719"/>
    <s v="glau2026"/>
    <s v="https://glauniversity.in:8070/"/>
    <n v="1"/>
    <n v="1"/>
    <n v="0"/>
  </r>
  <r>
    <n v="16"/>
    <s v="EduConnect"/>
    <s v="Physics Radar"/>
    <s v="Gaurav Kumar"/>
    <s v="8477008479"/>
    <s v="contactphysicsradar@gmail.com"/>
    <x v="0"/>
    <s v="Uttar Pradesh"/>
    <s v="20%"/>
    <s v="https://tinyurl.com/4r4mf2sr"/>
    <s v="EXT485039"/>
    <s v="glau2026"/>
    <s v="https://glauniversity.in:8070/"/>
    <n v="0"/>
    <n v="0"/>
    <n v="0"/>
  </r>
  <r>
    <n v="17"/>
    <s v="EduConnect"/>
    <s v="Mediit Coaching"/>
    <s v="Vishal Varshney"/>
    <s v="9368239800"/>
    <s v="mediiteducation@gmail.com"/>
    <x v="0"/>
    <s v="Uttar Pradesh"/>
    <s v="20%"/>
    <s v="https://tinyurl.com/yeydtymj"/>
    <s v="EXT374234"/>
    <s v="glau2026"/>
    <s v="https://glauniversity.in:8070/"/>
    <n v="0"/>
    <n v="0"/>
    <n v="0"/>
  </r>
  <r>
    <n v="18"/>
    <s v="EduConnect"/>
    <s v="N.S.C. Coaching"/>
    <s v="Amit Gupta"/>
    <s v="9411088021"/>
    <s v="amit.nsc.gupta@gmail.com"/>
    <x v="0"/>
    <s v="Uttar Pradesh"/>
    <s v="20%"/>
    <s v="https://tinyurl.com/bdf6n45f"/>
    <s v="EXT835587"/>
    <s v="glau2026"/>
    <s v="https://glauniversity.in:8070/"/>
    <n v="1"/>
    <n v="1"/>
    <n v="0"/>
  </r>
  <r>
    <n v="19"/>
    <s v="EduInfluence"/>
    <s v="Kota ki Baat"/>
    <s v="Mahesh Kumar Meena"/>
    <s v="8890707033"/>
    <s v="Maheshmeena2067@gmail.com"/>
    <x v="9"/>
    <s v="Uttar Pradesh"/>
    <s v="20%"/>
    <s v="https://tinyurl.com/43fndr3f"/>
    <s v="EXT295711"/>
    <s v="glau2026"/>
    <s v="https://glauniversity.in:8070/"/>
    <n v="0"/>
    <n v="0"/>
    <n v="0"/>
  </r>
  <r>
    <n v="20"/>
    <s v="EduInfluence"/>
    <s v="Sambhal Memes"/>
    <s v="Abu Azhar"/>
    <s v="9412397726"/>
    <s v="abuzaransari4562@gamil.com"/>
    <x v="10"/>
    <s v="Uttar Pradesh"/>
    <s v="20%"/>
    <s v="https://tinyurl.com/ycwy4yz8"/>
    <s v="EXT749107"/>
    <s v="glau2026"/>
    <s v="https://glauniversity.in:8070/"/>
    <n v="0"/>
    <n v="0"/>
    <n v="0"/>
  </r>
  <r>
    <n v="21"/>
    <s v="EduConnect"/>
    <s v="SKILLEDGE LEARNING INSTITUTE"/>
    <s v="Vivek Mishra"/>
    <s v="6394166169"/>
    <s v="vivek.esda@gmail.com"/>
    <x v="11"/>
    <s v="Uttar Pradesh"/>
    <s v="20%"/>
    <s v="https://tinyurl.com/mr4dwjz5"/>
    <s v="EXT705126"/>
    <s v="glau2026"/>
    <s v="https://glauniversity.in:8070/"/>
    <n v="0"/>
    <n v="0"/>
    <n v="0"/>
  </r>
  <r>
    <n v="22"/>
    <s v="EduConnect"/>
    <s v="Education Point"/>
    <s v="Jitendra Rastogi"/>
    <s v="9837103981"/>
    <s v="jitendrarastogi138@gmail.com"/>
    <x v="3"/>
    <s v="Uttar Pradesh"/>
    <s v="20%"/>
    <s v="https://tinyurl.com/h3496u82"/>
    <s v="EXT442926"/>
    <s v="glau2026"/>
    <s v="https://glauniversity.in:8070/"/>
    <n v="0"/>
    <n v="0"/>
    <n v="0"/>
  </r>
  <r>
    <n v="23"/>
    <s v="EduConnect"/>
    <s v="Vision Classes"/>
    <s v="Mamtesh Maheshwari"/>
    <s v="9837608130"/>
    <s v="mamtesh31@gmail.com"/>
    <x v="0"/>
    <s v="Uttar Pradesh"/>
    <s v="20%"/>
    <s v="https://tinyurl.com/2dpbtmw7"/>
    <s v="EXT683333"/>
    <s v="glau2026"/>
    <s v="https://glauniversity.in:8070/"/>
    <n v="1"/>
    <n v="1"/>
    <n v="0"/>
  </r>
  <r>
    <n v="24"/>
    <s v="EduConsultant"/>
    <s v="College Guider Private Limited"/>
    <s v="Anup Kumar Vishal"/>
    <s v="8434998877"/>
    <s v="anupvishal15@gmail.com"/>
    <x v="8"/>
    <s v="Uttarakhand"/>
    <s v="0%"/>
    <s v="https://tinyurl.com/yk5m76x3"/>
    <s v="EXT528775"/>
    <s v="glau2026"/>
    <s v="https://glauniversity.in:8070/"/>
    <n v="0"/>
    <n v="0"/>
    <n v="0"/>
  </r>
  <r>
    <n v="25"/>
    <s v="EduInfluence"/>
    <s v="uttrakhand dotcom"/>
    <s v="Keshav Bharti"/>
    <s v="7017869738"/>
    <s v="Kbharti150696@gmail.com"/>
    <x v="12"/>
    <s v="Uttarakhand"/>
    <s v="20%"/>
    <s v="https://tinyurl.com/cbda6tja"/>
    <s v="EXT721255"/>
    <s v="glau2026"/>
    <s v="https://glauniversity.in:8070/"/>
    <n v="0"/>
    <n v="0"/>
    <n v="0"/>
  </r>
  <r>
    <n v="26"/>
    <s v="EduInfluence"/>
    <s v="Kunal Gautam"/>
    <s v="Kunal Gautam"/>
    <s v="8279955688"/>
    <s v="anishksagar01@gmail.com"/>
    <x v="13"/>
    <s v="Uttar Pradesh"/>
    <s v="20%"/>
    <s v="https://tinyurl.com/yaf46yre"/>
    <s v="EXT550591"/>
    <s v="glau2026"/>
    <s v="https://glauniversity.in:8070/"/>
    <n v="0"/>
    <n v="0"/>
    <n v="0"/>
  </r>
  <r>
    <n v="27"/>
    <s v="EduInfluence"/>
    <s v="Chandausi Wala Vlog"/>
    <s v="Ankit"/>
    <s v="9058538649"/>
    <s v="sharmarahul081345@gmail.com"/>
    <x v="13"/>
    <s v="Uttar Pradesh"/>
    <s v="20%"/>
    <s v="https://tinyurl.com/4myvzpaj"/>
    <s v="EXT803125"/>
    <s v="glau2026"/>
    <s v="https://glauniversity.in:8070/"/>
    <n v="0"/>
    <n v="0"/>
    <n v="0"/>
  </r>
  <r>
    <n v="28"/>
    <s v="EduInfluence"/>
    <s v="Rudrapur Wale"/>
    <s v="Raunak Verma"/>
    <s v="9795799349"/>
    <s v="raunakverma283@gmail.com"/>
    <x v="12"/>
    <s v="Uttarakhand"/>
    <s v="20%"/>
    <s v="https://tinyurl.com/u52tfx4k"/>
    <s v="EXT410697"/>
    <s v="glau2026"/>
    <s v="https://glauniversity.in:8070/"/>
    <n v="0"/>
    <n v="0"/>
    <n v="0"/>
  </r>
  <r>
    <n v="29"/>
    <s v="EduInfluence"/>
    <s v="We Won Academy"/>
    <s v="Aman Mishra"/>
    <s v="8574483110"/>
    <s v="wewonacademyhelpdesk@gmail.com"/>
    <x v="14"/>
    <s v="Uttar Pradesh"/>
    <s v="20%"/>
    <s v="https://tinyurl.com/4x26ecfx"/>
    <s v="EXT700370"/>
    <s v="glau2026"/>
    <s v="https://glauniversity.in:8070/"/>
    <n v="0"/>
    <n v="0"/>
    <n v="0"/>
  </r>
  <r>
    <n v="30"/>
    <s v="EduConsultant"/>
    <s v="Kapila Institute"/>
    <s v="Meena Kapila"/>
    <n v="9917080777"/>
    <s v="kapila.physics@gmail.com"/>
    <x v="15"/>
    <s v="Uttarakhand"/>
    <n v="0"/>
    <s v="https://tinyurl.com/mw87y2ty"/>
    <s v="EXT436285"/>
    <s v="glau2026"/>
    <s v="https://glauniversity.in:8070/"/>
    <n v="0"/>
    <n v="0"/>
    <n v="0"/>
  </r>
  <r>
    <n v="31"/>
    <s v="EduConnect"/>
    <s v="Chandausi Mini Vrindavan"/>
    <s v="Anmol Agarwal"/>
    <n v="8285030789"/>
    <s v="anmolagarwal386@gmail.com"/>
    <x v="13"/>
    <s v="Uttar Pradesh"/>
    <s v="20%"/>
    <s v="https://tinyurl.com/3ke89z7c"/>
    <s v="EXT699547"/>
    <s v="glau2026"/>
    <s v="https://glauniversity.in:8070/"/>
    <n v="3"/>
    <n v="2"/>
    <n v="0"/>
  </r>
  <r>
    <n v="32"/>
    <s v="EduConsultant"/>
    <s v="Frenzet Global"/>
    <s v="Sonu Kumar"/>
    <n v="9136576704"/>
    <s v="frenzetglobal@gmail.com"/>
    <x v="16"/>
    <s v="Uttar Pradesh"/>
    <n v="0"/>
    <s v="https://tinyurl.com/bdd3ty82"/>
    <s v="EXT585024"/>
    <s v="glau2026"/>
    <s v="https://glauniversity.in:8070/"/>
    <n v="0"/>
    <n v="0"/>
    <n v="0"/>
  </r>
  <r>
    <n v="33"/>
    <s v="EduConsultant"/>
    <s v="College Jankari"/>
    <s v="Sandeep Singh Panwar"/>
    <n v="7060732951"/>
    <s v="collegejankari@gmail.com"/>
    <x v="8"/>
    <s v="Uttarakhand"/>
    <n v="0"/>
    <s v="https://tinyurl.com/49k6rvuv"/>
    <s v="EXT202258"/>
    <s v="glau2026"/>
    <s v="https://glauniversity.in:8070/"/>
    <n v="0"/>
    <n v="0"/>
    <n v="0"/>
  </r>
  <r>
    <n v="34"/>
    <s v="EduConnect"/>
    <s v="Academy of Science"/>
    <s v="Vivek Upadhyay"/>
    <n v="9897991528"/>
    <s v="vivekupadhyayy@gmail.com"/>
    <x v="0"/>
    <s v="Uttar Pradesh"/>
    <s v="20%"/>
    <s v="https://tinyurl.com/bdfzytjy"/>
    <s v="EXT264494"/>
    <s v="glau2026"/>
    <s v="https://glauniversity.in:8070/"/>
    <n v="1"/>
    <n v="1"/>
    <n v="1"/>
  </r>
  <r>
    <n v="35"/>
    <s v="EduInfluence"/>
    <s v="Traveler Bird"/>
    <s v="Neeru Kaushal"/>
    <n v="8727832882"/>
    <s v="travelerbirdkd@gmail.com"/>
    <x v="17"/>
    <s v="Punjab"/>
    <s v="20%"/>
    <s v="https://tinyurl.com/5xs79ux8"/>
    <s v="EXT709618"/>
    <s v="glau2026"/>
    <s v="https://glauniversity.in:8070/"/>
    <n v="0"/>
    <n v="0"/>
    <n v="0"/>
  </r>
  <r>
    <n v="36"/>
    <s v="EduInfluence "/>
    <s v="TheParenthoodJournal"/>
    <s v="Anchal Jindal"/>
    <n v="9927025888"/>
    <s v="connect@anchaljindal.com"/>
    <x v="0"/>
    <s v="Uttar Pradesh"/>
    <s v="20%"/>
    <s v="https://tinyurl.com/ycy5wh8a"/>
    <s v="  EXT119736"/>
    <s v="glau2026"/>
    <s v="https://glauniversity.in:8070/"/>
    <n v="0"/>
    <n v="0"/>
    <n v="0"/>
  </r>
  <r>
    <n v="37"/>
    <s v="EduInfluence"/>
    <s v="Boring Bing"/>
    <s v="Jay Prasad Singh"/>
    <n v="9382352869"/>
    <s v="mypalhelpforyou@gmail.com"/>
    <x v="16"/>
    <s v="Uttar Pradesh"/>
    <s v="20%"/>
    <s v="https://tinyurl.com/59frtzjy"/>
    <s v="EXT614379"/>
    <s v="glau2026"/>
    <s v="https://glauniversity.in:8070/"/>
    <n v="1"/>
    <n v="0"/>
    <n v="0"/>
  </r>
  <r>
    <n v="38"/>
    <s v="EduConnect"/>
    <s v="AV Classes of Physics"/>
    <s v="Anshul Valecha"/>
    <n v="9896163988"/>
    <s v="anshul.phy.iitg@gmail.com"/>
    <x v="18"/>
    <s v="Haryana"/>
    <s v="20%"/>
    <s v="https://tinyurl.com/mvw3fzfz"/>
    <s v="EXT127552"/>
    <s v="glau2026"/>
    <s v="https://glauniversity.in:8070/"/>
    <n v="6"/>
    <n v="0"/>
    <n v="0"/>
  </r>
  <r>
    <n v="39"/>
    <s v="EduInfluence"/>
    <s v="Namaste Bareilly"/>
    <s v="Prashant Sharma"/>
    <n v="7017126271"/>
    <s v="namastebareilly@gmail.com"/>
    <x v="0"/>
    <s v="Uttar Pradesh"/>
    <s v="20%"/>
    <s v="https://tinyurl.com/4f8m7z88"/>
    <s v="EXT916554"/>
    <s v="glau2026"/>
    <s v="https://glauniversity.in:8070/"/>
    <n v="0"/>
    <n v="0"/>
    <n v="0"/>
  </r>
  <r>
    <s v="Grand Total"/>
    <m/>
    <m/>
    <m/>
    <m/>
    <m/>
    <x v="19"/>
    <m/>
    <m/>
    <m/>
    <m/>
    <m/>
    <m/>
    <n v="119"/>
    <n v="44"/>
    <n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D24" firstHeaderRow="0" firstDataRow="1" firstDataCol="1"/>
  <pivotFields count="16">
    <pivotField showAll="0"/>
    <pivotField showAll="0"/>
    <pivotField showAll="0"/>
    <pivotField showAll="0"/>
    <pivotField showAll="0"/>
    <pivotField showAll="0"/>
    <pivotField axis="axisRow" showAll="0">
      <items count="21">
        <item x="4"/>
        <item x="6"/>
        <item x="0"/>
        <item x="13"/>
        <item x="8"/>
        <item x="16"/>
        <item x="11"/>
        <item x="7"/>
        <item x="18"/>
        <item x="17"/>
        <item x="15"/>
        <item x="9"/>
        <item x="5"/>
        <item x="3"/>
        <item x="2"/>
        <item x="14"/>
        <item x="1"/>
        <item x="12"/>
        <item x="10"/>
        <item x="19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</pivotFields>
  <rowFields count="1">
    <field x="6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Leads" fld="13" baseField="0" baseItem="0"/>
    <dataField name="Sum of Application Paid" fld="14" baseField="0" baseItem="0"/>
    <dataField name="Sum of Admissions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vivekupadhyayy@gmail.com" TargetMode="External"/><Relationship Id="rId18" Type="http://schemas.openxmlformats.org/officeDocument/2006/relationships/hyperlink" Target="https://glauniversity.in:8070/" TargetMode="External"/><Relationship Id="rId26" Type="http://schemas.openxmlformats.org/officeDocument/2006/relationships/hyperlink" Target="https://tinyurl.com/mvw3fzfz" TargetMode="External"/><Relationship Id="rId39" Type="http://schemas.openxmlformats.org/officeDocument/2006/relationships/hyperlink" Target="https://tinyurl.com/bdenm6rx" TargetMode="External"/><Relationship Id="rId21" Type="http://schemas.openxmlformats.org/officeDocument/2006/relationships/hyperlink" Target="https://glauniversity.in:8070/" TargetMode="External"/><Relationship Id="rId34" Type="http://schemas.openxmlformats.org/officeDocument/2006/relationships/hyperlink" Target="https://glauniversity.in:8070/" TargetMode="External"/><Relationship Id="rId42" Type="http://schemas.openxmlformats.org/officeDocument/2006/relationships/hyperlink" Target="https://tinyurl.com/5n7raaax" TargetMode="External"/><Relationship Id="rId7" Type="http://schemas.openxmlformats.org/officeDocument/2006/relationships/hyperlink" Target="mailto:frenzetglobal@gmail.com" TargetMode="External"/><Relationship Id="rId2" Type="http://schemas.openxmlformats.org/officeDocument/2006/relationships/hyperlink" Target="https://tinyurl.com/mw87y2ty" TargetMode="External"/><Relationship Id="rId16" Type="http://schemas.openxmlformats.org/officeDocument/2006/relationships/hyperlink" Target="mailto:travelerbirdkd@gmail.com" TargetMode="External"/><Relationship Id="rId29" Type="http://schemas.openxmlformats.org/officeDocument/2006/relationships/hyperlink" Target="https://tinyurl.com/4f8m7z88" TargetMode="External"/><Relationship Id="rId1" Type="http://schemas.openxmlformats.org/officeDocument/2006/relationships/hyperlink" Target="mailto:kapila.physics@gmail.com" TargetMode="External"/><Relationship Id="rId6" Type="http://schemas.openxmlformats.org/officeDocument/2006/relationships/hyperlink" Target="https://glauniversity.in:8070/" TargetMode="External"/><Relationship Id="rId11" Type="http://schemas.openxmlformats.org/officeDocument/2006/relationships/hyperlink" Target="https://tinyurl.com/49k6rvuv" TargetMode="External"/><Relationship Id="rId24" Type="http://schemas.openxmlformats.org/officeDocument/2006/relationships/hyperlink" Target="https://glauniversity.in:8070/" TargetMode="External"/><Relationship Id="rId32" Type="http://schemas.openxmlformats.org/officeDocument/2006/relationships/hyperlink" Target="mailto:alisha@careermantraedu.in" TargetMode="External"/><Relationship Id="rId37" Type="http://schemas.openxmlformats.org/officeDocument/2006/relationships/hyperlink" Target="https://glauniversity.in:8070/" TargetMode="External"/><Relationship Id="rId40" Type="http://schemas.openxmlformats.org/officeDocument/2006/relationships/hyperlink" Target="https://glauniversity.in:8070/" TargetMode="External"/><Relationship Id="rId45" Type="http://schemas.openxmlformats.org/officeDocument/2006/relationships/drawing" Target="../drawings/drawing1.xml"/><Relationship Id="rId5" Type="http://schemas.openxmlformats.org/officeDocument/2006/relationships/hyperlink" Target="https://tinyurl.com/3ke89z7c" TargetMode="External"/><Relationship Id="rId15" Type="http://schemas.openxmlformats.org/officeDocument/2006/relationships/hyperlink" Target="https://glauniversity.in:8070/" TargetMode="External"/><Relationship Id="rId23" Type="http://schemas.openxmlformats.org/officeDocument/2006/relationships/hyperlink" Target="https://tinyurl.com/59frtzjy" TargetMode="External"/><Relationship Id="rId28" Type="http://schemas.openxmlformats.org/officeDocument/2006/relationships/hyperlink" Target="mailto:namastebareilly@gmail.com" TargetMode="External"/><Relationship Id="rId36" Type="http://schemas.openxmlformats.org/officeDocument/2006/relationships/hyperlink" Target="https://tinyurl.com/354jpfdp" TargetMode="External"/><Relationship Id="rId10" Type="http://schemas.openxmlformats.org/officeDocument/2006/relationships/hyperlink" Target="mailto:collegejankari@gmail.com" TargetMode="External"/><Relationship Id="rId19" Type="http://schemas.openxmlformats.org/officeDocument/2006/relationships/hyperlink" Target="mailto:connect@anchaljindal.com" TargetMode="External"/><Relationship Id="rId31" Type="http://schemas.openxmlformats.org/officeDocument/2006/relationships/hyperlink" Target="https://tinyurl.com/4hfftev7" TargetMode="External"/><Relationship Id="rId44" Type="http://schemas.openxmlformats.org/officeDocument/2006/relationships/printerSettings" Target="../printerSettings/printerSettings1.bin"/><Relationship Id="rId4" Type="http://schemas.openxmlformats.org/officeDocument/2006/relationships/hyperlink" Target="mailto:anmolagarwal386@gmail.com" TargetMode="External"/><Relationship Id="rId9" Type="http://schemas.openxmlformats.org/officeDocument/2006/relationships/hyperlink" Target="https://glauniversity.in:8070/" TargetMode="External"/><Relationship Id="rId14" Type="http://schemas.openxmlformats.org/officeDocument/2006/relationships/hyperlink" Target="https://tinyurl.com/bdfzytjy" TargetMode="External"/><Relationship Id="rId22" Type="http://schemas.openxmlformats.org/officeDocument/2006/relationships/hyperlink" Target="mailto:mypalhelpforyou@gmail.com" TargetMode="External"/><Relationship Id="rId27" Type="http://schemas.openxmlformats.org/officeDocument/2006/relationships/hyperlink" Target="https://glauniversity.in:8070/" TargetMode="External"/><Relationship Id="rId30" Type="http://schemas.openxmlformats.org/officeDocument/2006/relationships/hyperlink" Target="https://glauniversity.in:8070/" TargetMode="External"/><Relationship Id="rId35" Type="http://schemas.openxmlformats.org/officeDocument/2006/relationships/hyperlink" Target="mailto:shuklasoni2525@gmail.com" TargetMode="External"/><Relationship Id="rId43" Type="http://schemas.openxmlformats.org/officeDocument/2006/relationships/hyperlink" Target="https://glauniversity.in:8070/" TargetMode="External"/><Relationship Id="rId8" Type="http://schemas.openxmlformats.org/officeDocument/2006/relationships/hyperlink" Target="https://tinyurl.com/bdd3ty82" TargetMode="External"/><Relationship Id="rId3" Type="http://schemas.openxmlformats.org/officeDocument/2006/relationships/hyperlink" Target="https://glauniversity.in:8070/" TargetMode="External"/><Relationship Id="rId12" Type="http://schemas.openxmlformats.org/officeDocument/2006/relationships/hyperlink" Target="https://glauniversity.in:8070/" TargetMode="External"/><Relationship Id="rId17" Type="http://schemas.openxmlformats.org/officeDocument/2006/relationships/hyperlink" Target="https://tinyurl.com/5xs79ux8" TargetMode="External"/><Relationship Id="rId25" Type="http://schemas.openxmlformats.org/officeDocument/2006/relationships/hyperlink" Target="mailto:anshul.phy.iitg@gmail.com" TargetMode="External"/><Relationship Id="rId33" Type="http://schemas.openxmlformats.org/officeDocument/2006/relationships/hyperlink" Target="https://tinyurl.com/yjuf8f77" TargetMode="External"/><Relationship Id="rId38" Type="http://schemas.openxmlformats.org/officeDocument/2006/relationships/hyperlink" Target="mailto:hershu0000@gmail.com" TargetMode="External"/><Relationship Id="rId20" Type="http://schemas.openxmlformats.org/officeDocument/2006/relationships/hyperlink" Target="https://tinyurl.com/ycy5wh8a" TargetMode="External"/><Relationship Id="rId41" Type="http://schemas.openxmlformats.org/officeDocument/2006/relationships/hyperlink" Target="mailto:rachana.pandey115@gmail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tinyurl.com/bdd3ty82" TargetMode="External"/><Relationship Id="rId13" Type="http://schemas.openxmlformats.org/officeDocument/2006/relationships/hyperlink" Target="mailto:Shikshanerd@gmail.com" TargetMode="External"/><Relationship Id="rId3" Type="http://schemas.openxmlformats.org/officeDocument/2006/relationships/hyperlink" Target="https://glauniversity.in:8070/" TargetMode="External"/><Relationship Id="rId7" Type="http://schemas.openxmlformats.org/officeDocument/2006/relationships/hyperlink" Target="mailto:frenzetglobal@gmail.com" TargetMode="External"/><Relationship Id="rId12" Type="http://schemas.openxmlformats.org/officeDocument/2006/relationships/hyperlink" Target="https://glauniversity.in:8070/" TargetMode="External"/><Relationship Id="rId17" Type="http://schemas.openxmlformats.org/officeDocument/2006/relationships/printerSettings" Target="../printerSettings/printerSettings2.bin"/><Relationship Id="rId2" Type="http://schemas.openxmlformats.org/officeDocument/2006/relationships/hyperlink" Target="https://tinyurl.com/mw87y2ty" TargetMode="External"/><Relationship Id="rId16" Type="http://schemas.openxmlformats.org/officeDocument/2006/relationships/hyperlink" Target="https://glauniversity.in:8070/" TargetMode="External"/><Relationship Id="rId1" Type="http://schemas.openxmlformats.org/officeDocument/2006/relationships/hyperlink" Target="mailto:kapila.physics@gmail.com" TargetMode="External"/><Relationship Id="rId6" Type="http://schemas.openxmlformats.org/officeDocument/2006/relationships/hyperlink" Target="https://glauniversity.in:8070/" TargetMode="External"/><Relationship Id="rId11" Type="http://schemas.openxmlformats.org/officeDocument/2006/relationships/hyperlink" Target="https://tinyurl.com/49k6rvuv" TargetMode="External"/><Relationship Id="rId5" Type="http://schemas.openxmlformats.org/officeDocument/2006/relationships/hyperlink" Target="https://tinyurl.com/3ke89z7c" TargetMode="External"/><Relationship Id="rId15" Type="http://schemas.openxmlformats.org/officeDocument/2006/relationships/hyperlink" Target="https://tinyurl.com/bdfzytjy" TargetMode="External"/><Relationship Id="rId10" Type="http://schemas.openxmlformats.org/officeDocument/2006/relationships/hyperlink" Target="mailto:collegejankari@gmail.com" TargetMode="External"/><Relationship Id="rId4" Type="http://schemas.openxmlformats.org/officeDocument/2006/relationships/hyperlink" Target="mailto:anmolagarwal386@gmail.com" TargetMode="External"/><Relationship Id="rId9" Type="http://schemas.openxmlformats.org/officeDocument/2006/relationships/hyperlink" Target="https://glauniversity.in:8070/" TargetMode="External"/><Relationship Id="rId14" Type="http://schemas.openxmlformats.org/officeDocument/2006/relationships/hyperlink" Target="mailto:vivekupadhyay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30"/>
  <sheetViews>
    <sheetView topLeftCell="A10" workbookViewId="0">
      <selection activeCell="A33" sqref="A33"/>
    </sheetView>
  </sheetViews>
  <sheetFormatPr defaultRowHeight="14.5" x14ac:dyDescent="0.35"/>
  <cols>
    <col min="1" max="1" width="13.08984375" bestFit="1" customWidth="1"/>
    <col min="2" max="2" width="11.81640625" style="3" bestFit="1" customWidth="1"/>
    <col min="3" max="3" width="20.81640625" style="3" bestFit="1" customWidth="1"/>
    <col min="4" max="4" width="10.26953125" style="3" bestFit="1" customWidth="1"/>
  </cols>
  <sheetData>
    <row r="1" spans="1:4" x14ac:dyDescent="0.35">
      <c r="A1" s="20" t="s">
        <v>281</v>
      </c>
      <c r="B1" s="21" t="s">
        <v>282</v>
      </c>
      <c r="C1" s="21" t="s">
        <v>283</v>
      </c>
      <c r="D1" s="21" t="s">
        <v>212</v>
      </c>
    </row>
    <row r="2" spans="1:4" x14ac:dyDescent="0.35">
      <c r="A2" s="1" t="s">
        <v>13</v>
      </c>
      <c r="B2" s="2">
        <v>21</v>
      </c>
      <c r="C2" s="2">
        <v>12</v>
      </c>
      <c r="D2" s="2">
        <v>3</v>
      </c>
    </row>
    <row r="3" spans="1:4" x14ac:dyDescent="0.35">
      <c r="A3" s="1" t="s">
        <v>91</v>
      </c>
      <c r="B3" s="2">
        <v>1</v>
      </c>
      <c r="C3" s="2">
        <v>1</v>
      </c>
      <c r="D3" s="2">
        <v>0</v>
      </c>
    </row>
    <row r="4" spans="1:4" x14ac:dyDescent="0.35">
      <c r="A4" s="1" t="s">
        <v>83</v>
      </c>
      <c r="B4" s="2">
        <v>8</v>
      </c>
      <c r="C4" s="2">
        <v>4</v>
      </c>
      <c r="D4" s="2">
        <v>0</v>
      </c>
    </row>
    <row r="5" spans="1:4" x14ac:dyDescent="0.35">
      <c r="A5" s="1" t="s">
        <v>25</v>
      </c>
      <c r="B5" s="2">
        <v>89</v>
      </c>
      <c r="C5" s="2">
        <v>27</v>
      </c>
      <c r="D5" s="2">
        <v>5</v>
      </c>
    </row>
    <row r="6" spans="1:4" x14ac:dyDescent="0.35">
      <c r="A6" s="1" t="s">
        <v>252</v>
      </c>
      <c r="B6" s="2">
        <v>0</v>
      </c>
      <c r="C6" s="2">
        <v>0</v>
      </c>
      <c r="D6" s="2">
        <v>0</v>
      </c>
    </row>
    <row r="7" spans="1:4" x14ac:dyDescent="0.35">
      <c r="A7" s="20" t="s">
        <v>275</v>
      </c>
      <c r="B7" s="21">
        <f>SUM(B2:B6)</f>
        <v>119</v>
      </c>
      <c r="C7" s="21">
        <f t="shared" ref="C7:D7" si="0">SUM(C2:C6)</f>
        <v>44</v>
      </c>
      <c r="D7" s="21">
        <f t="shared" si="0"/>
        <v>8</v>
      </c>
    </row>
    <row r="10" spans="1:4" x14ac:dyDescent="0.35">
      <c r="A10" s="21" t="s">
        <v>284</v>
      </c>
      <c r="B10" s="21" t="s">
        <v>282</v>
      </c>
      <c r="C10" s="21" t="s">
        <v>283</v>
      </c>
      <c r="D10" s="21" t="s">
        <v>212</v>
      </c>
    </row>
    <row r="11" spans="1:4" hidden="1" x14ac:dyDescent="0.35">
      <c r="A11" t="s">
        <v>52</v>
      </c>
      <c r="B11" s="3">
        <v>0</v>
      </c>
      <c r="C11" s="3">
        <v>0</v>
      </c>
      <c r="D11" s="3">
        <v>0</v>
      </c>
    </row>
    <row r="12" spans="1:4" x14ac:dyDescent="0.35">
      <c r="A12" t="s">
        <v>72</v>
      </c>
      <c r="B12" s="3">
        <v>10</v>
      </c>
      <c r="C12" s="3">
        <v>4</v>
      </c>
      <c r="D12" s="3">
        <v>1</v>
      </c>
    </row>
    <row r="13" spans="1:4" x14ac:dyDescent="0.35">
      <c r="A13" t="s">
        <v>18</v>
      </c>
      <c r="B13" s="3">
        <v>7</v>
      </c>
      <c r="C13" s="3">
        <v>6</v>
      </c>
      <c r="D13" s="3">
        <v>2</v>
      </c>
    </row>
    <row r="14" spans="1:4" x14ac:dyDescent="0.35">
      <c r="A14" t="s">
        <v>187</v>
      </c>
      <c r="B14" s="3">
        <v>3</v>
      </c>
      <c r="C14" s="3">
        <v>2</v>
      </c>
      <c r="D14" s="3">
        <v>0</v>
      </c>
    </row>
    <row r="15" spans="1:4" x14ac:dyDescent="0.35">
      <c r="A15" t="s">
        <v>88</v>
      </c>
      <c r="B15" s="3">
        <v>9</v>
      </c>
      <c r="C15" s="3">
        <v>5</v>
      </c>
      <c r="D15" s="3">
        <v>0</v>
      </c>
    </row>
    <row r="16" spans="1:4" x14ac:dyDescent="0.35">
      <c r="A16" t="s">
        <v>228</v>
      </c>
      <c r="B16" s="3">
        <v>1</v>
      </c>
      <c r="C16" s="3">
        <v>0</v>
      </c>
      <c r="D16" s="3">
        <v>0</v>
      </c>
    </row>
    <row r="17" spans="1:4" hidden="1" x14ac:dyDescent="0.35">
      <c r="A17" t="s">
        <v>155</v>
      </c>
      <c r="B17" s="3">
        <v>0</v>
      </c>
      <c r="C17" s="3">
        <v>0</v>
      </c>
      <c r="D17" s="3">
        <v>0</v>
      </c>
    </row>
    <row r="18" spans="1:4" hidden="1" x14ac:dyDescent="0.35">
      <c r="A18" t="s">
        <v>79</v>
      </c>
      <c r="B18" s="3">
        <v>0</v>
      </c>
      <c r="C18" s="3">
        <v>0</v>
      </c>
      <c r="D18" s="3">
        <v>0</v>
      </c>
    </row>
    <row r="19" spans="1:4" x14ac:dyDescent="0.35">
      <c r="A19" t="s">
        <v>266</v>
      </c>
      <c r="B19" s="3">
        <v>6</v>
      </c>
      <c r="C19" s="3">
        <v>0</v>
      </c>
      <c r="D19" s="3">
        <v>0</v>
      </c>
    </row>
    <row r="20" spans="1:4" hidden="1" x14ac:dyDescent="0.35">
      <c r="A20" t="s">
        <v>248</v>
      </c>
      <c r="B20" s="3">
        <v>0</v>
      </c>
      <c r="C20" s="3">
        <v>0</v>
      </c>
      <c r="D20" s="3">
        <v>0</v>
      </c>
    </row>
    <row r="21" spans="1:4" hidden="1" x14ac:dyDescent="0.35">
      <c r="A21" t="s">
        <v>216</v>
      </c>
      <c r="B21" s="3">
        <v>0</v>
      </c>
      <c r="C21" s="3">
        <v>0</v>
      </c>
      <c r="D21" s="3">
        <v>0</v>
      </c>
    </row>
    <row r="22" spans="1:4" hidden="1" x14ac:dyDescent="0.35">
      <c r="A22" t="s">
        <v>141</v>
      </c>
      <c r="B22" s="3">
        <v>0</v>
      </c>
      <c r="C22" s="3">
        <v>0</v>
      </c>
      <c r="D22" s="3">
        <v>0</v>
      </c>
    </row>
    <row r="23" spans="1:4" hidden="1" x14ac:dyDescent="0.35">
      <c r="A23" t="s">
        <v>65</v>
      </c>
      <c r="B23" s="3">
        <v>0</v>
      </c>
      <c r="C23" s="3">
        <v>0</v>
      </c>
      <c r="D23" s="3">
        <v>0</v>
      </c>
    </row>
    <row r="24" spans="1:4" x14ac:dyDescent="0.35">
      <c r="A24" t="s">
        <v>45</v>
      </c>
      <c r="B24" s="3">
        <v>5</v>
      </c>
      <c r="C24" s="3">
        <v>4</v>
      </c>
      <c r="D24" s="3">
        <v>1</v>
      </c>
    </row>
    <row r="25" spans="1:4" x14ac:dyDescent="0.35">
      <c r="A25" t="s">
        <v>38</v>
      </c>
      <c r="B25" s="3">
        <v>76</v>
      </c>
      <c r="C25" s="3">
        <v>22</v>
      </c>
      <c r="D25" s="3">
        <v>4</v>
      </c>
    </row>
    <row r="26" spans="1:4" hidden="1" x14ac:dyDescent="0.35">
      <c r="A26" t="s">
        <v>207</v>
      </c>
      <c r="B26" s="3">
        <v>0</v>
      </c>
      <c r="C26" s="3">
        <v>0</v>
      </c>
      <c r="D26" s="3">
        <v>0</v>
      </c>
    </row>
    <row r="27" spans="1:4" x14ac:dyDescent="0.35">
      <c r="A27" t="s">
        <v>30</v>
      </c>
      <c r="B27" s="3">
        <v>2</v>
      </c>
      <c r="C27" s="3">
        <v>1</v>
      </c>
      <c r="D27" s="3">
        <v>0</v>
      </c>
    </row>
    <row r="28" spans="1:4" hidden="1" x14ac:dyDescent="0.35">
      <c r="A28" t="s">
        <v>181</v>
      </c>
      <c r="B28" s="3">
        <v>0</v>
      </c>
      <c r="C28" s="3">
        <v>0</v>
      </c>
      <c r="D28" s="3">
        <v>0</v>
      </c>
    </row>
    <row r="29" spans="1:4" hidden="1" x14ac:dyDescent="0.35">
      <c r="A29" t="s">
        <v>148</v>
      </c>
      <c r="B29" s="3">
        <v>0</v>
      </c>
      <c r="C29" s="3">
        <v>0</v>
      </c>
      <c r="D29" s="3">
        <v>0</v>
      </c>
    </row>
    <row r="30" spans="1:4" x14ac:dyDescent="0.35">
      <c r="A30" s="21" t="s">
        <v>275</v>
      </c>
      <c r="B30" s="21">
        <f>SUM(B12:B27)</f>
        <v>119</v>
      </c>
      <c r="C30" s="21">
        <f t="shared" ref="C30:D30" si="1">SUM(C12:C27)</f>
        <v>44</v>
      </c>
      <c r="D30" s="21">
        <f t="shared" si="1"/>
        <v>8</v>
      </c>
    </row>
  </sheetData>
  <autoFilter ref="A10:D30">
    <filterColumn colId="1">
      <filters>
        <filter val="1"/>
        <filter val="10"/>
        <filter val="119"/>
        <filter val="2"/>
        <filter val="238"/>
        <filter val="3"/>
        <filter val="5"/>
        <filter val="6"/>
        <filter val="7"/>
        <filter val="76"/>
        <filter val="9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24"/>
  <sheetViews>
    <sheetView topLeftCell="A8" workbookViewId="0">
      <selection activeCell="A3" sqref="A3:D24"/>
    </sheetView>
  </sheetViews>
  <sheetFormatPr defaultRowHeight="14.5" x14ac:dyDescent="0.35"/>
  <cols>
    <col min="1" max="1" width="12.54296875" bestFit="1" customWidth="1"/>
    <col min="2" max="2" width="11.81640625" bestFit="1" customWidth="1"/>
    <col min="3" max="3" width="20.81640625" bestFit="1" customWidth="1"/>
    <col min="4" max="4" width="16.6328125" bestFit="1" customWidth="1"/>
  </cols>
  <sheetData>
    <row r="3" spans="1:4" x14ac:dyDescent="0.35">
      <c r="A3" s="31" t="s">
        <v>276</v>
      </c>
      <c r="B3" t="s">
        <v>278</v>
      </c>
      <c r="C3" t="s">
        <v>279</v>
      </c>
      <c r="D3" t="s">
        <v>280</v>
      </c>
    </row>
    <row r="4" spans="1:4" x14ac:dyDescent="0.35">
      <c r="A4" s="32" t="s">
        <v>52</v>
      </c>
      <c r="B4" s="33">
        <v>0</v>
      </c>
      <c r="C4" s="33">
        <v>0</v>
      </c>
      <c r="D4" s="33">
        <v>0</v>
      </c>
    </row>
    <row r="5" spans="1:4" x14ac:dyDescent="0.35">
      <c r="A5" s="32" t="s">
        <v>72</v>
      </c>
      <c r="B5" s="33">
        <v>10</v>
      </c>
      <c r="C5" s="33">
        <v>4</v>
      </c>
      <c r="D5" s="33">
        <v>1</v>
      </c>
    </row>
    <row r="6" spans="1:4" x14ac:dyDescent="0.35">
      <c r="A6" s="32" t="s">
        <v>18</v>
      </c>
      <c r="B6" s="33">
        <v>7</v>
      </c>
      <c r="C6" s="33">
        <v>6</v>
      </c>
      <c r="D6" s="33">
        <v>2</v>
      </c>
    </row>
    <row r="7" spans="1:4" x14ac:dyDescent="0.35">
      <c r="A7" s="32" t="s">
        <v>187</v>
      </c>
      <c r="B7" s="33">
        <v>3</v>
      </c>
      <c r="C7" s="33">
        <v>2</v>
      </c>
      <c r="D7" s="33">
        <v>0</v>
      </c>
    </row>
    <row r="8" spans="1:4" x14ac:dyDescent="0.35">
      <c r="A8" s="32" t="s">
        <v>88</v>
      </c>
      <c r="B8" s="33">
        <v>9</v>
      </c>
      <c r="C8" s="33">
        <v>5</v>
      </c>
      <c r="D8" s="33">
        <v>0</v>
      </c>
    </row>
    <row r="9" spans="1:4" x14ac:dyDescent="0.35">
      <c r="A9" s="32" t="s">
        <v>228</v>
      </c>
      <c r="B9" s="33">
        <v>1</v>
      </c>
      <c r="C9" s="33">
        <v>0</v>
      </c>
      <c r="D9" s="33">
        <v>0</v>
      </c>
    </row>
    <row r="10" spans="1:4" x14ac:dyDescent="0.35">
      <c r="A10" s="32" t="s">
        <v>155</v>
      </c>
      <c r="B10" s="33">
        <v>0</v>
      </c>
      <c r="C10" s="33">
        <v>0</v>
      </c>
      <c r="D10" s="33">
        <v>0</v>
      </c>
    </row>
    <row r="11" spans="1:4" x14ac:dyDescent="0.35">
      <c r="A11" s="32" t="s">
        <v>79</v>
      </c>
      <c r="B11" s="33">
        <v>0</v>
      </c>
      <c r="C11" s="33">
        <v>0</v>
      </c>
      <c r="D11" s="33">
        <v>0</v>
      </c>
    </row>
    <row r="12" spans="1:4" x14ac:dyDescent="0.35">
      <c r="A12" s="32" t="s">
        <v>266</v>
      </c>
      <c r="B12" s="33">
        <v>6</v>
      </c>
      <c r="C12" s="33">
        <v>0</v>
      </c>
      <c r="D12" s="33">
        <v>0</v>
      </c>
    </row>
    <row r="13" spans="1:4" x14ac:dyDescent="0.35">
      <c r="A13" s="32" t="s">
        <v>248</v>
      </c>
      <c r="B13" s="33">
        <v>0</v>
      </c>
      <c r="C13" s="33">
        <v>0</v>
      </c>
      <c r="D13" s="33">
        <v>0</v>
      </c>
    </row>
    <row r="14" spans="1:4" x14ac:dyDescent="0.35">
      <c r="A14" s="32" t="s">
        <v>216</v>
      </c>
      <c r="B14" s="33">
        <v>0</v>
      </c>
      <c r="C14" s="33">
        <v>0</v>
      </c>
      <c r="D14" s="33">
        <v>0</v>
      </c>
    </row>
    <row r="15" spans="1:4" x14ac:dyDescent="0.35">
      <c r="A15" s="32" t="s">
        <v>141</v>
      </c>
      <c r="B15" s="33">
        <v>0</v>
      </c>
      <c r="C15" s="33">
        <v>0</v>
      </c>
      <c r="D15" s="33">
        <v>0</v>
      </c>
    </row>
    <row r="16" spans="1:4" x14ac:dyDescent="0.35">
      <c r="A16" s="32" t="s">
        <v>65</v>
      </c>
      <c r="B16" s="33">
        <v>0</v>
      </c>
      <c r="C16" s="33">
        <v>0</v>
      </c>
      <c r="D16" s="33">
        <v>0</v>
      </c>
    </row>
    <row r="17" spans="1:4" x14ac:dyDescent="0.35">
      <c r="A17" s="32" t="s">
        <v>45</v>
      </c>
      <c r="B17" s="33">
        <v>5</v>
      </c>
      <c r="C17" s="33">
        <v>4</v>
      </c>
      <c r="D17" s="33">
        <v>1</v>
      </c>
    </row>
    <row r="18" spans="1:4" x14ac:dyDescent="0.35">
      <c r="A18" s="32" t="s">
        <v>38</v>
      </c>
      <c r="B18" s="33">
        <v>76</v>
      </c>
      <c r="C18" s="33">
        <v>22</v>
      </c>
      <c r="D18" s="33">
        <v>4</v>
      </c>
    </row>
    <row r="19" spans="1:4" x14ac:dyDescent="0.35">
      <c r="A19" s="32" t="s">
        <v>207</v>
      </c>
      <c r="B19" s="33">
        <v>0</v>
      </c>
      <c r="C19" s="33">
        <v>0</v>
      </c>
      <c r="D19" s="33">
        <v>0</v>
      </c>
    </row>
    <row r="20" spans="1:4" x14ac:dyDescent="0.35">
      <c r="A20" s="32" t="s">
        <v>30</v>
      </c>
      <c r="B20" s="33">
        <v>2</v>
      </c>
      <c r="C20" s="33">
        <v>1</v>
      </c>
      <c r="D20" s="33">
        <v>0</v>
      </c>
    </row>
    <row r="21" spans="1:4" x14ac:dyDescent="0.35">
      <c r="A21" s="32" t="s">
        <v>181</v>
      </c>
      <c r="B21" s="33">
        <v>0</v>
      </c>
      <c r="C21" s="33">
        <v>0</v>
      </c>
      <c r="D21" s="33">
        <v>0</v>
      </c>
    </row>
    <row r="22" spans="1:4" x14ac:dyDescent="0.35">
      <c r="A22" s="32" t="s">
        <v>148</v>
      </c>
      <c r="B22" s="33">
        <v>0</v>
      </c>
      <c r="C22" s="33">
        <v>0</v>
      </c>
      <c r="D22" s="33">
        <v>0</v>
      </c>
    </row>
    <row r="23" spans="1:4" x14ac:dyDescent="0.35">
      <c r="A23" s="32" t="s">
        <v>277</v>
      </c>
      <c r="B23" s="33">
        <v>119</v>
      </c>
      <c r="C23" s="33">
        <v>44</v>
      </c>
      <c r="D23" s="33">
        <v>8</v>
      </c>
    </row>
    <row r="24" spans="1:4" x14ac:dyDescent="0.35">
      <c r="A24" s="32" t="s">
        <v>275</v>
      </c>
      <c r="B24" s="33">
        <v>238</v>
      </c>
      <c r="C24" s="33">
        <v>88</v>
      </c>
      <c r="D24" s="33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9"/>
  <sheetViews>
    <sheetView tabSelected="1" topLeftCell="E56" workbookViewId="0">
      <selection activeCell="L69" sqref="L69"/>
    </sheetView>
  </sheetViews>
  <sheetFormatPr defaultRowHeight="14.5" x14ac:dyDescent="0.35"/>
  <cols>
    <col min="1" max="1" width="4.6328125" style="3" bestFit="1" customWidth="1"/>
    <col min="2" max="2" width="13.08984375" bestFit="1" customWidth="1"/>
    <col min="3" max="3" width="27.7265625" bestFit="1" customWidth="1"/>
    <col min="4" max="4" width="19.90625" customWidth="1"/>
    <col min="5" max="5" width="10.81640625" customWidth="1"/>
    <col min="6" max="6" width="32.6328125" customWidth="1"/>
    <col min="7" max="7" width="10.6328125" style="3" customWidth="1"/>
    <col min="8" max="8" width="12.26953125" customWidth="1"/>
    <col min="9" max="9" width="15.81640625" customWidth="1"/>
    <col min="10" max="10" width="26.90625" customWidth="1"/>
    <col min="11" max="11" width="12.26953125" bestFit="1" customWidth="1"/>
    <col min="12" max="12" width="26.81640625" bestFit="1" customWidth="1"/>
    <col min="13" max="13" width="25.54296875" customWidth="1"/>
    <col min="14" max="14" width="10.08984375" style="3" bestFit="1" customWidth="1"/>
    <col min="15" max="15" width="19" style="3" bestFit="1" customWidth="1"/>
    <col min="16" max="16" width="14.81640625" style="3" bestFit="1" customWidth="1"/>
  </cols>
  <sheetData>
    <row r="1" spans="1:16" x14ac:dyDescent="0.35">
      <c r="A1" s="21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1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1" t="s">
        <v>210</v>
      </c>
      <c r="O1" s="21" t="s">
        <v>211</v>
      </c>
      <c r="P1" s="21" t="s">
        <v>212</v>
      </c>
    </row>
    <row r="2" spans="1:16" x14ac:dyDescent="0.35">
      <c r="A2" s="2">
        <v>1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2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24</v>
      </c>
      <c r="N2" s="2">
        <v>3</v>
      </c>
      <c r="O2" s="2">
        <v>2</v>
      </c>
      <c r="P2" s="2">
        <v>1</v>
      </c>
    </row>
    <row r="3" spans="1:16" x14ac:dyDescent="0.35">
      <c r="A3" s="2">
        <v>2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2" t="s">
        <v>30</v>
      </c>
      <c r="H3" s="1" t="s">
        <v>31</v>
      </c>
      <c r="I3" s="1" t="s">
        <v>20</v>
      </c>
      <c r="J3" s="1" t="s">
        <v>32</v>
      </c>
      <c r="K3" s="1" t="s">
        <v>33</v>
      </c>
      <c r="L3" s="1" t="s">
        <v>23</v>
      </c>
      <c r="M3" s="1" t="s">
        <v>24</v>
      </c>
      <c r="N3" s="2">
        <v>2</v>
      </c>
      <c r="O3" s="2">
        <v>1</v>
      </c>
      <c r="P3" s="2">
        <v>0</v>
      </c>
    </row>
    <row r="4" spans="1:16" x14ac:dyDescent="0.35">
      <c r="A4" s="2">
        <v>3</v>
      </c>
      <c r="B4" s="1" t="s">
        <v>25</v>
      </c>
      <c r="C4" s="1" t="s">
        <v>34</v>
      </c>
      <c r="D4" s="1" t="s">
        <v>35</v>
      </c>
      <c r="E4" s="1" t="s">
        <v>36</v>
      </c>
      <c r="F4" s="1" t="s">
        <v>37</v>
      </c>
      <c r="G4" s="2" t="s">
        <v>38</v>
      </c>
      <c r="H4" s="1" t="s">
        <v>31</v>
      </c>
      <c r="I4" s="1" t="s">
        <v>20</v>
      </c>
      <c r="J4" s="34" t="s">
        <v>39</v>
      </c>
      <c r="K4" s="1" t="s">
        <v>40</v>
      </c>
      <c r="L4" s="1" t="s">
        <v>23</v>
      </c>
      <c r="M4" s="1" t="s">
        <v>24</v>
      </c>
      <c r="N4" s="2">
        <v>76</v>
      </c>
      <c r="O4" s="2">
        <v>22</v>
      </c>
      <c r="P4" s="2">
        <v>4</v>
      </c>
    </row>
    <row r="5" spans="1:16" x14ac:dyDescent="0.35">
      <c r="A5" s="2">
        <v>4</v>
      </c>
      <c r="B5" s="1" t="s">
        <v>13</v>
      </c>
      <c r="C5" s="1" t="s">
        <v>41</v>
      </c>
      <c r="D5" s="1" t="s">
        <v>42</v>
      </c>
      <c r="E5" s="1" t="s">
        <v>43</v>
      </c>
      <c r="F5" s="1" t="s">
        <v>44</v>
      </c>
      <c r="G5" s="2" t="s">
        <v>45</v>
      </c>
      <c r="H5" s="1" t="s">
        <v>19</v>
      </c>
      <c r="I5" s="1" t="s">
        <v>20</v>
      </c>
      <c r="J5" s="1" t="s">
        <v>46</v>
      </c>
      <c r="K5" s="1" t="s">
        <v>47</v>
      </c>
      <c r="L5" s="1" t="s">
        <v>23</v>
      </c>
      <c r="M5" s="1" t="s">
        <v>24</v>
      </c>
      <c r="N5" s="2">
        <v>0</v>
      </c>
      <c r="O5" s="2">
        <v>0</v>
      </c>
      <c r="P5" s="2">
        <v>0</v>
      </c>
    </row>
    <row r="6" spans="1:16" x14ac:dyDescent="0.35">
      <c r="A6" s="2">
        <v>5</v>
      </c>
      <c r="B6" s="1" t="s">
        <v>13</v>
      </c>
      <c r="C6" s="1" t="s">
        <v>48</v>
      </c>
      <c r="D6" s="1" t="s">
        <v>49</v>
      </c>
      <c r="E6" s="1" t="s">
        <v>50</v>
      </c>
      <c r="F6" s="1" t="s">
        <v>51</v>
      </c>
      <c r="G6" s="2" t="s">
        <v>52</v>
      </c>
      <c r="H6" s="1" t="s">
        <v>19</v>
      </c>
      <c r="I6" s="1" t="s">
        <v>20</v>
      </c>
      <c r="J6" s="1" t="s">
        <v>53</v>
      </c>
      <c r="K6" s="1" t="s">
        <v>54</v>
      </c>
      <c r="L6" s="1" t="s">
        <v>23</v>
      </c>
      <c r="M6" s="1" t="s">
        <v>24</v>
      </c>
      <c r="N6" s="2">
        <v>0</v>
      </c>
      <c r="O6" s="2">
        <v>0</v>
      </c>
      <c r="P6" s="2">
        <v>0</v>
      </c>
    </row>
    <row r="7" spans="1:16" x14ac:dyDescent="0.35">
      <c r="A7" s="2">
        <v>6</v>
      </c>
      <c r="B7" s="1" t="s">
        <v>13</v>
      </c>
      <c r="C7" s="1" t="s">
        <v>55</v>
      </c>
      <c r="D7" s="1" t="s">
        <v>56</v>
      </c>
      <c r="E7" s="1" t="s">
        <v>57</v>
      </c>
      <c r="F7" s="1" t="s">
        <v>58</v>
      </c>
      <c r="G7" s="2" t="s">
        <v>45</v>
      </c>
      <c r="H7" s="1" t="s">
        <v>19</v>
      </c>
      <c r="I7" s="1" t="s">
        <v>20</v>
      </c>
      <c r="J7" s="1" t="s">
        <v>59</v>
      </c>
      <c r="K7" s="1" t="s">
        <v>60</v>
      </c>
      <c r="L7" s="1" t="s">
        <v>23</v>
      </c>
      <c r="M7" s="1" t="s">
        <v>24</v>
      </c>
      <c r="N7" s="2">
        <v>5</v>
      </c>
      <c r="O7" s="2">
        <v>4</v>
      </c>
      <c r="P7" s="2">
        <v>1</v>
      </c>
    </row>
    <row r="8" spans="1:16" x14ac:dyDescent="0.35">
      <c r="A8" s="2">
        <v>7</v>
      </c>
      <c r="B8" s="1" t="s">
        <v>25</v>
      </c>
      <c r="C8" s="1" t="s">
        <v>61</v>
      </c>
      <c r="D8" s="1" t="s">
        <v>62</v>
      </c>
      <c r="E8" s="1" t="s">
        <v>63</v>
      </c>
      <c r="F8" s="1" t="s">
        <v>64</v>
      </c>
      <c r="G8" s="2" t="s">
        <v>65</v>
      </c>
      <c r="H8" s="1" t="s">
        <v>19</v>
      </c>
      <c r="I8" s="1" t="s">
        <v>20</v>
      </c>
      <c r="J8" s="1" t="s">
        <v>66</v>
      </c>
      <c r="K8" s="1" t="s">
        <v>67</v>
      </c>
      <c r="L8" s="1" t="s">
        <v>23</v>
      </c>
      <c r="M8" s="1" t="s">
        <v>24</v>
      </c>
      <c r="N8" s="2">
        <v>0</v>
      </c>
      <c r="O8" s="2">
        <v>0</v>
      </c>
      <c r="P8" s="2">
        <v>0</v>
      </c>
    </row>
    <row r="9" spans="1:16" x14ac:dyDescent="0.35">
      <c r="A9" s="2">
        <v>8</v>
      </c>
      <c r="B9" s="1" t="s">
        <v>25</v>
      </c>
      <c r="C9" s="1" t="s">
        <v>68</v>
      </c>
      <c r="D9" s="1" t="s">
        <v>69</v>
      </c>
      <c r="E9" s="1" t="s">
        <v>70</v>
      </c>
      <c r="F9" s="1" t="s">
        <v>71</v>
      </c>
      <c r="G9" s="2" t="s">
        <v>72</v>
      </c>
      <c r="H9" s="1" t="s">
        <v>19</v>
      </c>
      <c r="I9" s="1" t="s">
        <v>20</v>
      </c>
      <c r="J9" s="1" t="s">
        <v>73</v>
      </c>
      <c r="K9" s="1" t="s">
        <v>74</v>
      </c>
      <c r="L9" s="1" t="s">
        <v>23</v>
      </c>
      <c r="M9" s="1" t="s">
        <v>24</v>
      </c>
      <c r="N9" s="2">
        <v>10</v>
      </c>
      <c r="O9" s="2">
        <v>4</v>
      </c>
      <c r="P9" s="2">
        <v>1</v>
      </c>
    </row>
    <row r="10" spans="1:16" x14ac:dyDescent="0.35">
      <c r="A10" s="2">
        <v>9</v>
      </c>
      <c r="B10" s="1" t="s">
        <v>13</v>
      </c>
      <c r="C10" s="1" t="s">
        <v>75</v>
      </c>
      <c r="D10" s="1" t="s">
        <v>76</v>
      </c>
      <c r="E10" s="1" t="s">
        <v>77</v>
      </c>
      <c r="F10" s="1" t="s">
        <v>78</v>
      </c>
      <c r="G10" s="2" t="s">
        <v>79</v>
      </c>
      <c r="H10" s="1" t="s">
        <v>80</v>
      </c>
      <c r="I10" s="1" t="s">
        <v>20</v>
      </c>
      <c r="J10" s="1" t="s">
        <v>81</v>
      </c>
      <c r="K10" s="1" t="s">
        <v>82</v>
      </c>
      <c r="L10" s="1" t="s">
        <v>23</v>
      </c>
      <c r="M10" s="1" t="s">
        <v>24</v>
      </c>
      <c r="N10" s="2">
        <v>0</v>
      </c>
      <c r="O10" s="2">
        <v>0</v>
      </c>
      <c r="P10" s="2">
        <v>0</v>
      </c>
    </row>
    <row r="11" spans="1:16" x14ac:dyDescent="0.35">
      <c r="A11" s="2">
        <v>10</v>
      </c>
      <c r="B11" s="1" t="s">
        <v>83</v>
      </c>
      <c r="C11" s="1" t="s">
        <v>84</v>
      </c>
      <c r="D11" s="1" t="s">
        <v>85</v>
      </c>
      <c r="E11" s="1" t="s">
        <v>86</v>
      </c>
      <c r="F11" s="1" t="s">
        <v>87</v>
      </c>
      <c r="G11" s="2" t="s">
        <v>88</v>
      </c>
      <c r="H11" s="1" t="s">
        <v>80</v>
      </c>
      <c r="I11" s="1" t="s">
        <v>20</v>
      </c>
      <c r="J11" s="1" t="s">
        <v>89</v>
      </c>
      <c r="K11" s="1" t="s">
        <v>90</v>
      </c>
      <c r="L11" s="1" t="s">
        <v>23</v>
      </c>
      <c r="M11" s="1" t="s">
        <v>24</v>
      </c>
      <c r="N11" s="2">
        <v>8</v>
      </c>
      <c r="O11" s="2">
        <v>4</v>
      </c>
      <c r="P11" s="2">
        <v>0</v>
      </c>
    </row>
    <row r="12" spans="1:16" x14ac:dyDescent="0.35">
      <c r="A12" s="2">
        <v>11</v>
      </c>
      <c r="B12" s="1" t="s">
        <v>91</v>
      </c>
      <c r="C12" s="1" t="s">
        <v>92</v>
      </c>
      <c r="D12" s="1" t="s">
        <v>92</v>
      </c>
      <c r="E12" s="1" t="s">
        <v>93</v>
      </c>
      <c r="F12" s="1" t="s">
        <v>94</v>
      </c>
      <c r="G12" s="2" t="s">
        <v>88</v>
      </c>
      <c r="H12" s="1" t="s">
        <v>80</v>
      </c>
      <c r="I12" s="1" t="s">
        <v>95</v>
      </c>
      <c r="J12" s="1" t="s">
        <v>96</v>
      </c>
      <c r="K12" s="1" t="s">
        <v>97</v>
      </c>
      <c r="L12" s="1" t="s">
        <v>23</v>
      </c>
      <c r="M12" s="1" t="s">
        <v>24</v>
      </c>
      <c r="N12" s="2">
        <v>1</v>
      </c>
      <c r="O12" s="2">
        <v>1</v>
      </c>
      <c r="P12" s="2">
        <v>0</v>
      </c>
    </row>
    <row r="13" spans="1:16" x14ac:dyDescent="0.35">
      <c r="A13" s="2">
        <v>12</v>
      </c>
      <c r="B13" s="1" t="s">
        <v>91</v>
      </c>
      <c r="C13" s="1" t="s">
        <v>98</v>
      </c>
      <c r="D13" s="1" t="s">
        <v>85</v>
      </c>
      <c r="E13" s="1" t="s">
        <v>99</v>
      </c>
      <c r="F13" s="1" t="s">
        <v>100</v>
      </c>
      <c r="G13" s="2" t="s">
        <v>88</v>
      </c>
      <c r="H13" s="1" t="s">
        <v>80</v>
      </c>
      <c r="I13" s="1" t="s">
        <v>95</v>
      </c>
      <c r="J13" s="1" t="s">
        <v>101</v>
      </c>
      <c r="K13" s="1" t="s">
        <v>102</v>
      </c>
      <c r="L13" s="1" t="s">
        <v>23</v>
      </c>
      <c r="M13" s="1" t="s">
        <v>24</v>
      </c>
      <c r="N13" s="2">
        <v>0</v>
      </c>
      <c r="O13" s="2">
        <v>0</v>
      </c>
      <c r="P13" s="2">
        <v>0</v>
      </c>
    </row>
    <row r="14" spans="1:16" x14ac:dyDescent="0.35">
      <c r="A14" s="2">
        <v>13</v>
      </c>
      <c r="B14" s="1" t="s">
        <v>91</v>
      </c>
      <c r="C14" s="1" t="s">
        <v>103</v>
      </c>
      <c r="D14" s="1" t="s">
        <v>104</v>
      </c>
      <c r="E14" s="1" t="s">
        <v>105</v>
      </c>
      <c r="F14" s="1" t="s">
        <v>106</v>
      </c>
      <c r="G14" s="2" t="s">
        <v>88</v>
      </c>
      <c r="H14" s="1" t="s">
        <v>80</v>
      </c>
      <c r="I14" s="1" t="s">
        <v>95</v>
      </c>
      <c r="J14" s="1" t="s">
        <v>107</v>
      </c>
      <c r="K14" s="1" t="s">
        <v>108</v>
      </c>
      <c r="L14" s="1" t="s">
        <v>23</v>
      </c>
      <c r="M14" s="1" t="s">
        <v>24</v>
      </c>
      <c r="N14" s="2">
        <v>0</v>
      </c>
      <c r="O14" s="2">
        <v>0</v>
      </c>
      <c r="P14" s="2">
        <v>0</v>
      </c>
    </row>
    <row r="15" spans="1:16" x14ac:dyDescent="0.35">
      <c r="A15" s="2">
        <v>14</v>
      </c>
      <c r="B15" s="1" t="s">
        <v>13</v>
      </c>
      <c r="C15" s="1" t="s">
        <v>109</v>
      </c>
      <c r="D15" s="1" t="s">
        <v>109</v>
      </c>
      <c r="E15" s="1"/>
      <c r="F15" s="1" t="s">
        <v>110</v>
      </c>
      <c r="G15" s="2" t="s">
        <v>45</v>
      </c>
      <c r="H15" s="1" t="s">
        <v>19</v>
      </c>
      <c r="I15" s="1" t="s">
        <v>20</v>
      </c>
      <c r="J15" s="1" t="s">
        <v>111</v>
      </c>
      <c r="K15" s="1" t="s">
        <v>112</v>
      </c>
      <c r="L15" s="1" t="s">
        <v>23</v>
      </c>
      <c r="M15" s="1" t="s">
        <v>24</v>
      </c>
      <c r="N15" s="2">
        <v>0</v>
      </c>
      <c r="O15" s="2">
        <v>0</v>
      </c>
      <c r="P15" s="2">
        <v>0</v>
      </c>
    </row>
    <row r="16" spans="1:16" x14ac:dyDescent="0.35">
      <c r="A16" s="2">
        <v>15</v>
      </c>
      <c r="B16" s="1" t="s">
        <v>13</v>
      </c>
      <c r="C16" s="1" t="s">
        <v>113</v>
      </c>
      <c r="D16" s="1" t="s">
        <v>114</v>
      </c>
      <c r="E16" s="1" t="s">
        <v>115</v>
      </c>
      <c r="F16" s="1" t="s">
        <v>116</v>
      </c>
      <c r="G16" s="2" t="s">
        <v>18</v>
      </c>
      <c r="H16" s="1" t="s">
        <v>19</v>
      </c>
      <c r="I16" s="1" t="s">
        <v>20</v>
      </c>
      <c r="J16" s="1" t="s">
        <v>117</v>
      </c>
      <c r="K16" s="1" t="s">
        <v>118</v>
      </c>
      <c r="L16" s="1" t="s">
        <v>23</v>
      </c>
      <c r="M16" s="1" t="s">
        <v>24</v>
      </c>
      <c r="N16" s="2">
        <v>1</v>
      </c>
      <c r="O16" s="2">
        <v>1</v>
      </c>
      <c r="P16" s="2">
        <v>0</v>
      </c>
    </row>
    <row r="17" spans="1:16" x14ac:dyDescent="0.35">
      <c r="A17" s="2">
        <v>16</v>
      </c>
      <c r="B17" s="1" t="s">
        <v>13</v>
      </c>
      <c r="C17" s="1" t="s">
        <v>119</v>
      </c>
      <c r="D17" s="1" t="s">
        <v>120</v>
      </c>
      <c r="E17" s="1" t="s">
        <v>121</v>
      </c>
      <c r="F17" s="1" t="s">
        <v>122</v>
      </c>
      <c r="G17" s="2" t="s">
        <v>18</v>
      </c>
      <c r="H17" s="1" t="s">
        <v>19</v>
      </c>
      <c r="I17" s="1" t="s">
        <v>20</v>
      </c>
      <c r="J17" s="1" t="s">
        <v>123</v>
      </c>
      <c r="K17" s="1" t="s">
        <v>124</v>
      </c>
      <c r="L17" s="1" t="s">
        <v>23</v>
      </c>
      <c r="M17" s="1" t="s">
        <v>24</v>
      </c>
      <c r="N17" s="2">
        <v>0</v>
      </c>
      <c r="O17" s="2">
        <v>0</v>
      </c>
      <c r="P17" s="2">
        <v>0</v>
      </c>
    </row>
    <row r="18" spans="1:16" x14ac:dyDescent="0.35">
      <c r="A18" s="2">
        <v>17</v>
      </c>
      <c r="B18" s="1" t="s">
        <v>13</v>
      </c>
      <c r="C18" s="1" t="s">
        <v>125</v>
      </c>
      <c r="D18" s="1" t="s">
        <v>126</v>
      </c>
      <c r="E18" s="1" t="s">
        <v>127</v>
      </c>
      <c r="F18" s="1" t="s">
        <v>128</v>
      </c>
      <c r="G18" s="2" t="s">
        <v>18</v>
      </c>
      <c r="H18" s="1" t="s">
        <v>19</v>
      </c>
      <c r="I18" s="1" t="s">
        <v>20</v>
      </c>
      <c r="J18" s="1" t="s">
        <v>129</v>
      </c>
      <c r="K18" s="1" t="s">
        <v>130</v>
      </c>
      <c r="L18" s="1" t="s">
        <v>23</v>
      </c>
      <c r="M18" s="1" t="s">
        <v>24</v>
      </c>
      <c r="N18" s="2">
        <v>0</v>
      </c>
      <c r="O18" s="2">
        <v>0</v>
      </c>
      <c r="P18" s="2">
        <v>0</v>
      </c>
    </row>
    <row r="19" spans="1:16" x14ac:dyDescent="0.35">
      <c r="A19" s="2">
        <v>18</v>
      </c>
      <c r="B19" s="1" t="s">
        <v>13</v>
      </c>
      <c r="C19" s="1" t="s">
        <v>131</v>
      </c>
      <c r="D19" s="1" t="s">
        <v>132</v>
      </c>
      <c r="E19" s="1" t="s">
        <v>133</v>
      </c>
      <c r="F19" s="1" t="s">
        <v>134</v>
      </c>
      <c r="G19" s="2" t="s">
        <v>18</v>
      </c>
      <c r="H19" s="1" t="s">
        <v>19</v>
      </c>
      <c r="I19" s="1" t="s">
        <v>20</v>
      </c>
      <c r="J19" s="1" t="s">
        <v>135</v>
      </c>
      <c r="K19" s="1" t="s">
        <v>136</v>
      </c>
      <c r="L19" s="1" t="s">
        <v>23</v>
      </c>
      <c r="M19" s="1" t="s">
        <v>24</v>
      </c>
      <c r="N19" s="2">
        <v>1</v>
      </c>
      <c r="O19" s="2">
        <v>1</v>
      </c>
      <c r="P19" s="2">
        <v>0</v>
      </c>
    </row>
    <row r="20" spans="1:16" x14ac:dyDescent="0.35">
      <c r="A20" s="2">
        <v>19</v>
      </c>
      <c r="B20" s="1" t="s">
        <v>25</v>
      </c>
      <c r="C20" s="1" t="s">
        <v>137</v>
      </c>
      <c r="D20" s="1" t="s">
        <v>138</v>
      </c>
      <c r="E20" s="1" t="s">
        <v>139</v>
      </c>
      <c r="F20" s="1" t="s">
        <v>140</v>
      </c>
      <c r="G20" s="2" t="s">
        <v>141</v>
      </c>
      <c r="H20" s="1" t="s">
        <v>19</v>
      </c>
      <c r="I20" s="1" t="s">
        <v>20</v>
      </c>
      <c r="J20" s="1" t="s">
        <v>142</v>
      </c>
      <c r="K20" s="1" t="s">
        <v>143</v>
      </c>
      <c r="L20" s="1" t="s">
        <v>23</v>
      </c>
      <c r="M20" s="1" t="s">
        <v>24</v>
      </c>
      <c r="N20" s="2">
        <v>0</v>
      </c>
      <c r="O20" s="2">
        <v>0</v>
      </c>
      <c r="P20" s="2">
        <v>0</v>
      </c>
    </row>
    <row r="21" spans="1:16" x14ac:dyDescent="0.35">
      <c r="A21" s="2">
        <v>20</v>
      </c>
      <c r="B21" s="1" t="s">
        <v>25</v>
      </c>
      <c r="C21" s="1" t="s">
        <v>144</v>
      </c>
      <c r="D21" s="1" t="s">
        <v>145</v>
      </c>
      <c r="E21" s="1" t="s">
        <v>146</v>
      </c>
      <c r="F21" s="1" t="s">
        <v>147</v>
      </c>
      <c r="G21" s="2" t="s">
        <v>148</v>
      </c>
      <c r="H21" s="1" t="s">
        <v>19</v>
      </c>
      <c r="I21" s="1" t="s">
        <v>20</v>
      </c>
      <c r="J21" s="1" t="s">
        <v>149</v>
      </c>
      <c r="K21" s="1" t="s">
        <v>150</v>
      </c>
      <c r="L21" s="1" t="s">
        <v>23</v>
      </c>
      <c r="M21" s="1" t="s">
        <v>24</v>
      </c>
      <c r="N21" s="2">
        <v>0</v>
      </c>
      <c r="O21" s="2">
        <v>0</v>
      </c>
      <c r="P21" s="2">
        <v>0</v>
      </c>
    </row>
    <row r="22" spans="1:16" x14ac:dyDescent="0.35">
      <c r="A22" s="2">
        <v>21</v>
      </c>
      <c r="B22" s="1" t="s">
        <v>13</v>
      </c>
      <c r="C22" s="1" t="s">
        <v>151</v>
      </c>
      <c r="D22" s="1" t="s">
        <v>152</v>
      </c>
      <c r="E22" s="1" t="s">
        <v>153</v>
      </c>
      <c r="F22" s="1" t="s">
        <v>154</v>
      </c>
      <c r="G22" s="2" t="s">
        <v>155</v>
      </c>
      <c r="H22" s="1" t="s">
        <v>19</v>
      </c>
      <c r="I22" s="1" t="s">
        <v>20</v>
      </c>
      <c r="J22" s="1" t="s">
        <v>156</v>
      </c>
      <c r="K22" s="1" t="s">
        <v>157</v>
      </c>
      <c r="L22" s="1" t="s">
        <v>23</v>
      </c>
      <c r="M22" s="1" t="s">
        <v>24</v>
      </c>
      <c r="N22" s="2">
        <v>0</v>
      </c>
      <c r="O22" s="2">
        <v>0</v>
      </c>
      <c r="P22" s="2">
        <v>0</v>
      </c>
    </row>
    <row r="23" spans="1:16" x14ac:dyDescent="0.35">
      <c r="A23" s="2">
        <v>22</v>
      </c>
      <c r="B23" s="1" t="s">
        <v>13</v>
      </c>
      <c r="C23" s="1" t="s">
        <v>158</v>
      </c>
      <c r="D23" s="1" t="s">
        <v>159</v>
      </c>
      <c r="E23" s="1" t="s">
        <v>160</v>
      </c>
      <c r="F23" s="1" t="s">
        <v>161</v>
      </c>
      <c r="G23" s="2" t="s">
        <v>45</v>
      </c>
      <c r="H23" s="1" t="s">
        <v>19</v>
      </c>
      <c r="I23" s="1" t="s">
        <v>20</v>
      </c>
      <c r="J23" s="1" t="s">
        <v>162</v>
      </c>
      <c r="K23" s="1" t="s">
        <v>163</v>
      </c>
      <c r="L23" s="1" t="s">
        <v>23</v>
      </c>
      <c r="M23" s="1" t="s">
        <v>24</v>
      </c>
      <c r="N23" s="2">
        <v>0</v>
      </c>
      <c r="O23" s="2">
        <v>0</v>
      </c>
      <c r="P23" s="2">
        <v>0</v>
      </c>
    </row>
    <row r="24" spans="1:16" x14ac:dyDescent="0.35">
      <c r="A24" s="2">
        <v>23</v>
      </c>
      <c r="B24" s="1" t="s">
        <v>13</v>
      </c>
      <c r="C24" s="1" t="s">
        <v>164</v>
      </c>
      <c r="D24" s="1" t="s">
        <v>165</v>
      </c>
      <c r="E24" s="1" t="s">
        <v>166</v>
      </c>
      <c r="F24" s="1" t="s">
        <v>167</v>
      </c>
      <c r="G24" s="2" t="s">
        <v>18</v>
      </c>
      <c r="H24" s="1" t="s">
        <v>19</v>
      </c>
      <c r="I24" s="1" t="s">
        <v>20</v>
      </c>
      <c r="J24" s="1" t="s">
        <v>168</v>
      </c>
      <c r="K24" s="1" t="s">
        <v>169</v>
      </c>
      <c r="L24" s="1" t="s">
        <v>23</v>
      </c>
      <c r="M24" s="1" t="s">
        <v>24</v>
      </c>
      <c r="N24" s="2">
        <v>1</v>
      </c>
      <c r="O24" s="2">
        <v>1</v>
      </c>
      <c r="P24" s="2">
        <v>0</v>
      </c>
    </row>
    <row r="25" spans="1:16" x14ac:dyDescent="0.35">
      <c r="A25" s="2">
        <v>24</v>
      </c>
      <c r="B25" s="1" t="s">
        <v>91</v>
      </c>
      <c r="C25" s="1" t="s">
        <v>171</v>
      </c>
      <c r="D25" s="1" t="s">
        <v>172</v>
      </c>
      <c r="E25" s="1" t="s">
        <v>173</v>
      </c>
      <c r="F25" s="1" t="s">
        <v>174</v>
      </c>
      <c r="G25" s="2" t="s">
        <v>88</v>
      </c>
      <c r="H25" s="1" t="s">
        <v>80</v>
      </c>
      <c r="I25" s="1" t="s">
        <v>95</v>
      </c>
      <c r="J25" s="1" t="s">
        <v>175</v>
      </c>
      <c r="K25" s="1" t="s">
        <v>176</v>
      </c>
      <c r="L25" s="1" t="s">
        <v>23</v>
      </c>
      <c r="M25" s="1" t="s">
        <v>24</v>
      </c>
      <c r="N25" s="2">
        <v>0</v>
      </c>
      <c r="O25" s="2">
        <v>0</v>
      </c>
      <c r="P25" s="2">
        <v>0</v>
      </c>
    </row>
    <row r="26" spans="1:16" x14ac:dyDescent="0.35">
      <c r="A26" s="2">
        <v>25</v>
      </c>
      <c r="B26" s="1" t="s">
        <v>25</v>
      </c>
      <c r="C26" s="1" t="s">
        <v>177</v>
      </c>
      <c r="D26" s="1" t="s">
        <v>178</v>
      </c>
      <c r="E26" s="1" t="s">
        <v>179</v>
      </c>
      <c r="F26" s="1" t="s">
        <v>180</v>
      </c>
      <c r="G26" s="2" t="s">
        <v>181</v>
      </c>
      <c r="H26" s="1" t="s">
        <v>80</v>
      </c>
      <c r="I26" s="1" t="s">
        <v>20</v>
      </c>
      <c r="J26" s="1" t="s">
        <v>182</v>
      </c>
      <c r="K26" s="1" t="s">
        <v>183</v>
      </c>
      <c r="L26" s="1" t="s">
        <v>23</v>
      </c>
      <c r="M26" s="1" t="s">
        <v>24</v>
      </c>
      <c r="N26" s="2">
        <v>0</v>
      </c>
      <c r="O26" s="2">
        <v>0</v>
      </c>
      <c r="P26" s="2">
        <v>0</v>
      </c>
    </row>
    <row r="27" spans="1:16" x14ac:dyDescent="0.35">
      <c r="A27" s="2">
        <v>26</v>
      </c>
      <c r="B27" s="1" t="s">
        <v>25</v>
      </c>
      <c r="C27" s="1" t="s">
        <v>184</v>
      </c>
      <c r="D27" s="1" t="s">
        <v>184</v>
      </c>
      <c r="E27" s="1" t="s">
        <v>185</v>
      </c>
      <c r="F27" s="1" t="s">
        <v>186</v>
      </c>
      <c r="G27" s="2" t="s">
        <v>187</v>
      </c>
      <c r="H27" s="1" t="s">
        <v>19</v>
      </c>
      <c r="I27" s="1" t="s">
        <v>20</v>
      </c>
      <c r="J27" s="1" t="s">
        <v>188</v>
      </c>
      <c r="K27" s="30" t="s">
        <v>189</v>
      </c>
      <c r="L27" s="30" t="s">
        <v>23</v>
      </c>
      <c r="M27" s="1" t="s">
        <v>24</v>
      </c>
      <c r="N27" s="2">
        <v>0</v>
      </c>
      <c r="O27" s="2">
        <v>0</v>
      </c>
      <c r="P27" s="2">
        <v>0</v>
      </c>
    </row>
    <row r="28" spans="1:16" x14ac:dyDescent="0.35">
      <c r="A28" s="2">
        <v>27</v>
      </c>
      <c r="B28" s="1" t="s">
        <v>25</v>
      </c>
      <c r="C28" s="1" t="s">
        <v>191</v>
      </c>
      <c r="D28" s="1" t="s">
        <v>192</v>
      </c>
      <c r="E28" s="1" t="s">
        <v>193</v>
      </c>
      <c r="F28" s="1" t="s">
        <v>194</v>
      </c>
      <c r="G28" s="2" t="s">
        <v>187</v>
      </c>
      <c r="H28" s="1" t="s">
        <v>19</v>
      </c>
      <c r="I28" s="1" t="s">
        <v>20</v>
      </c>
      <c r="J28" s="1" t="s">
        <v>195</v>
      </c>
      <c r="K28" s="1" t="s">
        <v>196</v>
      </c>
      <c r="L28" s="1" t="s">
        <v>23</v>
      </c>
      <c r="M28" s="1" t="s">
        <v>24</v>
      </c>
      <c r="N28" s="2">
        <v>0</v>
      </c>
      <c r="O28" s="2">
        <v>0</v>
      </c>
      <c r="P28" s="2">
        <v>0</v>
      </c>
    </row>
    <row r="29" spans="1:16" x14ac:dyDescent="0.35">
      <c r="A29" s="2">
        <v>28</v>
      </c>
      <c r="B29" s="1" t="s">
        <v>25</v>
      </c>
      <c r="C29" s="1" t="s">
        <v>197</v>
      </c>
      <c r="D29" s="1" t="s">
        <v>198</v>
      </c>
      <c r="E29" s="1" t="s">
        <v>199</v>
      </c>
      <c r="F29" s="1" t="s">
        <v>200</v>
      </c>
      <c r="G29" s="2" t="s">
        <v>181</v>
      </c>
      <c r="H29" s="1" t="s">
        <v>80</v>
      </c>
      <c r="I29" s="1" t="s">
        <v>20</v>
      </c>
      <c r="J29" s="1" t="s">
        <v>201</v>
      </c>
      <c r="K29" s="1" t="s">
        <v>202</v>
      </c>
      <c r="L29" s="1" t="s">
        <v>23</v>
      </c>
      <c r="M29" s="1" t="s">
        <v>24</v>
      </c>
      <c r="N29" s="2">
        <v>0</v>
      </c>
      <c r="O29" s="2">
        <v>0</v>
      </c>
      <c r="P29" s="2">
        <v>0</v>
      </c>
    </row>
    <row r="30" spans="1:16" x14ac:dyDescent="0.35">
      <c r="A30" s="2">
        <v>29</v>
      </c>
      <c r="B30" s="1" t="s">
        <v>25</v>
      </c>
      <c r="C30" s="1" t="s">
        <v>203</v>
      </c>
      <c r="D30" s="1" t="s">
        <v>204</v>
      </c>
      <c r="E30" s="1" t="s">
        <v>205</v>
      </c>
      <c r="F30" s="1" t="s">
        <v>206</v>
      </c>
      <c r="G30" s="2" t="s">
        <v>207</v>
      </c>
      <c r="H30" s="1" t="s">
        <v>19</v>
      </c>
      <c r="I30" s="1" t="s">
        <v>20</v>
      </c>
      <c r="J30" s="1" t="s">
        <v>208</v>
      </c>
      <c r="K30" s="1" t="s">
        <v>209</v>
      </c>
      <c r="L30" s="1" t="s">
        <v>23</v>
      </c>
      <c r="M30" s="1" t="s">
        <v>24</v>
      </c>
      <c r="N30" s="2">
        <v>0</v>
      </c>
      <c r="O30" s="2">
        <v>0</v>
      </c>
      <c r="P30" s="2">
        <v>0</v>
      </c>
    </row>
    <row r="31" spans="1:16" x14ac:dyDescent="0.35">
      <c r="A31" s="2">
        <v>30</v>
      </c>
      <c r="B31" s="1" t="s">
        <v>91</v>
      </c>
      <c r="C31" s="1" t="s">
        <v>213</v>
      </c>
      <c r="D31" s="1" t="s">
        <v>214</v>
      </c>
      <c r="E31" s="1">
        <v>9917080777</v>
      </c>
      <c r="F31" s="1" t="s">
        <v>215</v>
      </c>
      <c r="G31" s="2" t="s">
        <v>216</v>
      </c>
      <c r="H31" s="1" t="s">
        <v>80</v>
      </c>
      <c r="I31" s="1">
        <v>0</v>
      </c>
      <c r="J31" s="1" t="s">
        <v>217</v>
      </c>
      <c r="K31" s="1" t="s">
        <v>218</v>
      </c>
      <c r="L31" s="1" t="s">
        <v>23</v>
      </c>
      <c r="M31" s="1" t="s">
        <v>24</v>
      </c>
      <c r="N31" s="2">
        <v>0</v>
      </c>
      <c r="O31" s="2">
        <v>0</v>
      </c>
      <c r="P31" s="2">
        <v>0</v>
      </c>
    </row>
    <row r="32" spans="1:16" x14ac:dyDescent="0.35">
      <c r="A32" s="2">
        <v>31</v>
      </c>
      <c r="B32" s="1" t="s">
        <v>13</v>
      </c>
      <c r="C32" s="1" t="s">
        <v>219</v>
      </c>
      <c r="D32" s="1" t="s">
        <v>220</v>
      </c>
      <c r="E32" s="1">
        <v>8285030789</v>
      </c>
      <c r="F32" s="1" t="s">
        <v>221</v>
      </c>
      <c r="G32" s="2" t="s">
        <v>187</v>
      </c>
      <c r="H32" s="1" t="s">
        <v>19</v>
      </c>
      <c r="I32" s="1" t="s">
        <v>20</v>
      </c>
      <c r="J32" s="1" t="s">
        <v>222</v>
      </c>
      <c r="K32" s="1" t="s">
        <v>223</v>
      </c>
      <c r="L32" s="1" t="s">
        <v>23</v>
      </c>
      <c r="M32" s="1" t="s">
        <v>24</v>
      </c>
      <c r="N32" s="2">
        <v>3</v>
      </c>
      <c r="O32" s="2">
        <v>2</v>
      </c>
      <c r="P32" s="2">
        <v>0</v>
      </c>
    </row>
    <row r="33" spans="1:16" x14ac:dyDescent="0.35">
      <c r="A33" s="2">
        <v>32</v>
      </c>
      <c r="B33" s="1" t="s">
        <v>91</v>
      </c>
      <c r="C33" s="1" t="s">
        <v>225</v>
      </c>
      <c r="D33" s="1" t="s">
        <v>226</v>
      </c>
      <c r="E33" s="1">
        <v>9136576704</v>
      </c>
      <c r="F33" s="1" t="s">
        <v>227</v>
      </c>
      <c r="G33" s="2" t="s">
        <v>228</v>
      </c>
      <c r="H33" s="1" t="s">
        <v>19</v>
      </c>
      <c r="I33" s="1">
        <v>0</v>
      </c>
      <c r="J33" s="1" t="s">
        <v>229</v>
      </c>
      <c r="K33" s="1" t="s">
        <v>230</v>
      </c>
      <c r="L33" s="1" t="s">
        <v>23</v>
      </c>
      <c r="M33" s="1" t="s">
        <v>24</v>
      </c>
      <c r="N33" s="2">
        <v>0</v>
      </c>
      <c r="O33" s="2">
        <v>0</v>
      </c>
      <c r="P33" s="2">
        <v>0</v>
      </c>
    </row>
    <row r="34" spans="1:16" x14ac:dyDescent="0.35">
      <c r="A34" s="2">
        <v>33</v>
      </c>
      <c r="B34" s="1" t="s">
        <v>91</v>
      </c>
      <c r="C34" s="1" t="s">
        <v>231</v>
      </c>
      <c r="D34" s="1" t="s">
        <v>232</v>
      </c>
      <c r="E34" s="1">
        <v>7060732951</v>
      </c>
      <c r="F34" s="1" t="s">
        <v>233</v>
      </c>
      <c r="G34" s="2" t="s">
        <v>88</v>
      </c>
      <c r="H34" s="1" t="s">
        <v>80</v>
      </c>
      <c r="I34" s="1">
        <v>0</v>
      </c>
      <c r="J34" s="1" t="s">
        <v>234</v>
      </c>
      <c r="K34" s="1" t="s">
        <v>235</v>
      </c>
      <c r="L34" s="1" t="s">
        <v>23</v>
      </c>
      <c r="M34" s="1" t="s">
        <v>24</v>
      </c>
      <c r="N34" s="2">
        <v>0</v>
      </c>
      <c r="O34" s="2">
        <v>0</v>
      </c>
      <c r="P34" s="2">
        <v>0</v>
      </c>
    </row>
    <row r="35" spans="1:16" x14ac:dyDescent="0.35">
      <c r="A35" s="2">
        <v>34</v>
      </c>
      <c r="B35" s="1" t="s">
        <v>13</v>
      </c>
      <c r="C35" s="1" t="s">
        <v>240</v>
      </c>
      <c r="D35" s="1" t="s">
        <v>241</v>
      </c>
      <c r="E35" s="1">
        <v>9897991528</v>
      </c>
      <c r="F35" s="1" t="s">
        <v>242</v>
      </c>
      <c r="G35" s="2" t="s">
        <v>18</v>
      </c>
      <c r="H35" s="1" t="s">
        <v>19</v>
      </c>
      <c r="I35" s="1" t="s">
        <v>20</v>
      </c>
      <c r="J35" s="1" t="s">
        <v>243</v>
      </c>
      <c r="K35" s="1" t="s">
        <v>244</v>
      </c>
      <c r="L35" s="1" t="s">
        <v>23</v>
      </c>
      <c r="M35" s="1" t="s">
        <v>24</v>
      </c>
      <c r="N35" s="2">
        <v>1</v>
      </c>
      <c r="O35" s="2">
        <v>1</v>
      </c>
      <c r="P35" s="2">
        <v>1</v>
      </c>
    </row>
    <row r="36" spans="1:16" x14ac:dyDescent="0.35">
      <c r="A36" s="2">
        <v>35</v>
      </c>
      <c r="B36" s="1" t="s">
        <v>25</v>
      </c>
      <c r="C36" s="1" t="s">
        <v>245</v>
      </c>
      <c r="D36" s="1" t="s">
        <v>246</v>
      </c>
      <c r="E36" s="1">
        <v>8727832882</v>
      </c>
      <c r="F36" s="1" t="s">
        <v>247</v>
      </c>
      <c r="G36" s="2" t="s">
        <v>248</v>
      </c>
      <c r="H36" s="1" t="s">
        <v>249</v>
      </c>
      <c r="I36" s="1" t="s">
        <v>20</v>
      </c>
      <c r="J36" s="1" t="s">
        <v>250</v>
      </c>
      <c r="K36" s="1" t="s">
        <v>251</v>
      </c>
      <c r="L36" s="1" t="s">
        <v>23</v>
      </c>
      <c r="M36" s="1" t="s">
        <v>24</v>
      </c>
      <c r="N36" s="2">
        <v>0</v>
      </c>
      <c r="O36" s="2">
        <v>0</v>
      </c>
      <c r="P36" s="2">
        <v>0</v>
      </c>
    </row>
    <row r="37" spans="1:16" x14ac:dyDescent="0.35">
      <c r="A37" s="2">
        <v>36</v>
      </c>
      <c r="B37" s="1" t="s">
        <v>252</v>
      </c>
      <c r="C37" s="1" t="s">
        <v>253</v>
      </c>
      <c r="D37" s="1" t="s">
        <v>254</v>
      </c>
      <c r="E37" s="1">
        <v>9927025888</v>
      </c>
      <c r="F37" s="1" t="s">
        <v>255</v>
      </c>
      <c r="G37" s="2" t="s">
        <v>18</v>
      </c>
      <c r="H37" s="1" t="s">
        <v>19</v>
      </c>
      <c r="I37" s="1" t="s">
        <v>20</v>
      </c>
      <c r="J37" s="1" t="s">
        <v>256</v>
      </c>
      <c r="K37" s="1" t="s">
        <v>257</v>
      </c>
      <c r="L37" s="1" t="s">
        <v>23</v>
      </c>
      <c r="M37" s="1" t="s">
        <v>24</v>
      </c>
      <c r="N37" s="2">
        <v>0</v>
      </c>
      <c r="O37" s="2">
        <v>0</v>
      </c>
      <c r="P37" s="2">
        <v>0</v>
      </c>
    </row>
    <row r="38" spans="1:16" x14ac:dyDescent="0.35">
      <c r="A38" s="2">
        <v>37</v>
      </c>
      <c r="B38" s="1" t="s">
        <v>25</v>
      </c>
      <c r="C38" s="1" t="s">
        <v>258</v>
      </c>
      <c r="D38" s="1" t="s">
        <v>259</v>
      </c>
      <c r="E38" s="1">
        <v>9382352869</v>
      </c>
      <c r="F38" s="1" t="s">
        <v>260</v>
      </c>
      <c r="G38" s="2" t="s">
        <v>228</v>
      </c>
      <c r="H38" s="1" t="s">
        <v>19</v>
      </c>
      <c r="I38" s="1" t="s">
        <v>20</v>
      </c>
      <c r="J38" s="1" t="s">
        <v>261</v>
      </c>
      <c r="K38" s="1" t="s">
        <v>262</v>
      </c>
      <c r="L38" s="1" t="s">
        <v>23</v>
      </c>
      <c r="M38" s="1" t="s">
        <v>24</v>
      </c>
      <c r="N38" s="2">
        <v>1</v>
      </c>
      <c r="O38" s="2">
        <v>0</v>
      </c>
      <c r="P38" s="2">
        <v>0</v>
      </c>
    </row>
    <row r="39" spans="1:16" x14ac:dyDescent="0.35">
      <c r="A39" s="2">
        <v>38</v>
      </c>
      <c r="B39" s="1" t="s">
        <v>13</v>
      </c>
      <c r="C39" s="1" t="s">
        <v>263</v>
      </c>
      <c r="D39" s="1" t="s">
        <v>264</v>
      </c>
      <c r="E39" s="1">
        <v>9896163988</v>
      </c>
      <c r="F39" s="1" t="s">
        <v>265</v>
      </c>
      <c r="G39" s="2" t="s">
        <v>266</v>
      </c>
      <c r="H39" s="1" t="s">
        <v>267</v>
      </c>
      <c r="I39" s="1" t="s">
        <v>20</v>
      </c>
      <c r="J39" s="1" t="s">
        <v>268</v>
      </c>
      <c r="K39" s="1" t="s">
        <v>269</v>
      </c>
      <c r="L39" s="1" t="s">
        <v>23</v>
      </c>
      <c r="M39" s="1" t="s">
        <v>24</v>
      </c>
      <c r="N39" s="2">
        <v>6</v>
      </c>
      <c r="O39" s="2">
        <v>0</v>
      </c>
      <c r="P39" s="2">
        <v>0</v>
      </c>
    </row>
    <row r="40" spans="1:16" x14ac:dyDescent="0.35">
      <c r="A40" s="2">
        <v>39</v>
      </c>
      <c r="B40" s="1" t="s">
        <v>25</v>
      </c>
      <c r="C40" s="1" t="s">
        <v>270</v>
      </c>
      <c r="D40" s="1" t="s">
        <v>271</v>
      </c>
      <c r="E40" s="1">
        <v>7017126271</v>
      </c>
      <c r="F40" s="1" t="s">
        <v>272</v>
      </c>
      <c r="G40" s="2" t="s">
        <v>18</v>
      </c>
      <c r="H40" s="1" t="s">
        <v>19</v>
      </c>
      <c r="I40" s="1" t="s">
        <v>20</v>
      </c>
      <c r="J40" s="1" t="s">
        <v>273</v>
      </c>
      <c r="K40" s="1" t="s">
        <v>274</v>
      </c>
      <c r="L40" s="1" t="s">
        <v>23</v>
      </c>
      <c r="M40" s="1" t="s">
        <v>24</v>
      </c>
      <c r="N40" s="2">
        <v>0</v>
      </c>
      <c r="O40" s="2">
        <v>0</v>
      </c>
      <c r="P40" s="2">
        <v>0</v>
      </c>
    </row>
    <row r="41" spans="1:16" x14ac:dyDescent="0.35">
      <c r="A41" s="35" t="s">
        <v>275</v>
      </c>
      <c r="B41" s="36"/>
      <c r="C41" s="37"/>
      <c r="D41" s="20"/>
      <c r="E41" s="20"/>
      <c r="F41" s="20"/>
      <c r="G41" s="21"/>
      <c r="H41" s="20"/>
      <c r="I41" s="20"/>
      <c r="J41" s="20"/>
      <c r="K41" s="20"/>
      <c r="L41" s="20"/>
      <c r="M41" s="20"/>
      <c r="N41" s="21">
        <f>SUM(N2:N40)</f>
        <v>119</v>
      </c>
      <c r="O41" s="21">
        <f t="shared" ref="O41:P41" si="0">SUM(O2:O40)</f>
        <v>44</v>
      </c>
      <c r="P41" s="21">
        <f t="shared" si="0"/>
        <v>8</v>
      </c>
    </row>
    <row r="45" spans="1:16" ht="15.5" x14ac:dyDescent="0.35">
      <c r="A45" s="22"/>
    </row>
    <row r="46" spans="1:16" x14ac:dyDescent="0.35">
      <c r="A46" s="23"/>
    </row>
    <row r="47" spans="1:16" x14ac:dyDescent="0.35">
      <c r="A47" s="24"/>
    </row>
    <row r="48" spans="1:16" x14ac:dyDescent="0.35">
      <c r="A48" s="24"/>
    </row>
    <row r="49" spans="1:20" ht="15.5" x14ac:dyDescent="0.35">
      <c r="A49" s="25"/>
    </row>
    <row r="50" spans="1:20" x14ac:dyDescent="0.35">
      <c r="A50" s="26"/>
    </row>
    <row r="51" spans="1:20" x14ac:dyDescent="0.35">
      <c r="A51" s="26"/>
    </row>
    <row r="52" spans="1:20" x14ac:dyDescent="0.35">
      <c r="A52" s="27"/>
    </row>
    <row r="53" spans="1:20" x14ac:dyDescent="0.35">
      <c r="A53" s="28"/>
    </row>
    <row r="54" spans="1:20" x14ac:dyDescent="0.35">
      <c r="A54" s="29"/>
      <c r="B54" s="19"/>
    </row>
    <row r="59" spans="1:20" ht="15" customHeight="1" x14ac:dyDescent="0.35">
      <c r="G59" s="38" t="s">
        <v>285</v>
      </c>
      <c r="H59" s="38" t="s">
        <v>1</v>
      </c>
      <c r="I59" s="38" t="s">
        <v>2</v>
      </c>
      <c r="J59" s="38" t="s">
        <v>3</v>
      </c>
      <c r="K59" s="38" t="s">
        <v>4</v>
      </c>
      <c r="L59" s="38" t="s">
        <v>5</v>
      </c>
      <c r="M59" s="38" t="s">
        <v>6</v>
      </c>
      <c r="N59" s="38" t="s">
        <v>7</v>
      </c>
      <c r="O59" s="38" t="s">
        <v>8</v>
      </c>
      <c r="P59" s="38" t="s">
        <v>9</v>
      </c>
      <c r="Q59" s="38" t="s">
        <v>10</v>
      </c>
      <c r="R59" s="38" t="s">
        <v>11</v>
      </c>
      <c r="S59" s="38" t="s">
        <v>12</v>
      </c>
      <c r="T59" s="38" t="s">
        <v>286</v>
      </c>
    </row>
    <row r="60" spans="1:20" ht="15" customHeight="1" x14ac:dyDescent="0.35">
      <c r="G60" s="2">
        <v>1</v>
      </c>
      <c r="H60" s="43" t="s">
        <v>91</v>
      </c>
      <c r="I60" s="43" t="s">
        <v>287</v>
      </c>
      <c r="J60" s="43" t="s">
        <v>288</v>
      </c>
      <c r="K60" s="43">
        <v>9217218474</v>
      </c>
      <c r="L60" s="43" t="s">
        <v>289</v>
      </c>
      <c r="M60" s="43" t="s">
        <v>207</v>
      </c>
      <c r="N60" s="43" t="s">
        <v>19</v>
      </c>
      <c r="O60" s="47">
        <v>0</v>
      </c>
      <c r="P60" s="45"/>
      <c r="Q60" s="44"/>
      <c r="R60" s="44"/>
      <c r="S60" s="45"/>
      <c r="T60" s="46"/>
    </row>
    <row r="61" spans="1:20" ht="15" customHeight="1" x14ac:dyDescent="0.35">
      <c r="G61" s="2">
        <v>2</v>
      </c>
      <c r="H61" s="43" t="s">
        <v>290</v>
      </c>
      <c r="I61" s="43" t="s">
        <v>291</v>
      </c>
      <c r="J61" s="43" t="s">
        <v>292</v>
      </c>
      <c r="K61" s="43">
        <v>9519683571</v>
      </c>
      <c r="L61" s="43" t="s">
        <v>293</v>
      </c>
      <c r="M61" s="43" t="s">
        <v>294</v>
      </c>
      <c r="N61" s="43" t="s">
        <v>19</v>
      </c>
      <c r="O61" s="48">
        <v>0.2</v>
      </c>
      <c r="P61" s="2"/>
      <c r="Q61" s="1"/>
      <c r="R61" s="1"/>
      <c r="S61" s="1"/>
      <c r="T61" s="1"/>
    </row>
    <row r="62" spans="1:20" ht="15" customHeight="1" x14ac:dyDescent="0.35">
      <c r="G62" s="2">
        <v>3</v>
      </c>
      <c r="H62" s="43" t="s">
        <v>13</v>
      </c>
      <c r="I62" s="43" t="s">
        <v>295</v>
      </c>
      <c r="J62" s="43" t="s">
        <v>296</v>
      </c>
      <c r="K62" s="43">
        <v>9152003027</v>
      </c>
      <c r="L62" s="43" t="s">
        <v>297</v>
      </c>
      <c r="M62" s="43" t="s">
        <v>298</v>
      </c>
      <c r="N62" s="43" t="s">
        <v>19</v>
      </c>
      <c r="O62" s="48">
        <v>0.2</v>
      </c>
      <c r="P62" s="2"/>
      <c r="Q62" s="1"/>
      <c r="R62" s="1"/>
      <c r="S62" s="1"/>
      <c r="T62" s="1"/>
    </row>
    <row r="63" spans="1:20" ht="15" customHeight="1" x14ac:dyDescent="0.35">
      <c r="G63" s="2">
        <v>4</v>
      </c>
      <c r="H63" s="43" t="s">
        <v>13</v>
      </c>
      <c r="I63" s="43" t="s">
        <v>299</v>
      </c>
      <c r="J63" s="43" t="s">
        <v>300</v>
      </c>
      <c r="K63" s="43">
        <v>8127303030</v>
      </c>
      <c r="L63" s="43" t="s">
        <v>301</v>
      </c>
      <c r="M63" s="43" t="s">
        <v>298</v>
      </c>
      <c r="N63" s="43" t="s">
        <v>19</v>
      </c>
      <c r="O63" s="48">
        <v>0.2</v>
      </c>
      <c r="P63" s="2"/>
      <c r="Q63" s="1"/>
      <c r="R63" s="1"/>
      <c r="S63" s="1"/>
      <c r="T63" s="1"/>
    </row>
    <row r="65" spans="1:21" ht="15" customHeight="1" x14ac:dyDescent="0.35">
      <c r="H65" s="38" t="s">
        <v>285</v>
      </c>
      <c r="I65" s="39" t="s">
        <v>1</v>
      </c>
      <c r="J65" s="39" t="s">
        <v>2</v>
      </c>
      <c r="K65" s="39" t="s">
        <v>3</v>
      </c>
      <c r="L65" s="39" t="s">
        <v>4</v>
      </c>
      <c r="M65" s="39" t="s">
        <v>5</v>
      </c>
      <c r="N65" s="39" t="s">
        <v>6</v>
      </c>
      <c r="O65" s="39" t="s">
        <v>7</v>
      </c>
      <c r="P65" s="39" t="s">
        <v>8</v>
      </c>
      <c r="Q65" s="39" t="s">
        <v>9</v>
      </c>
      <c r="R65" s="39" t="s">
        <v>10</v>
      </c>
      <c r="S65" s="39" t="s">
        <v>11</v>
      </c>
      <c r="T65" s="39" t="s">
        <v>12</v>
      </c>
      <c r="U65" s="39" t="s">
        <v>286</v>
      </c>
    </row>
    <row r="66" spans="1:21" ht="15" customHeight="1" x14ac:dyDescent="0.35">
      <c r="H66" s="49">
        <v>1</v>
      </c>
      <c r="I66" s="50" t="s">
        <v>91</v>
      </c>
      <c r="J66" s="50" t="s">
        <v>287</v>
      </c>
      <c r="K66" s="50" t="s">
        <v>288</v>
      </c>
      <c r="L66" s="51">
        <v>9217218474</v>
      </c>
      <c r="M66" s="52" t="s">
        <v>289</v>
      </c>
      <c r="N66" s="50" t="s">
        <v>207</v>
      </c>
      <c r="O66" s="50" t="s">
        <v>19</v>
      </c>
      <c r="P66" s="53">
        <v>0</v>
      </c>
      <c r="Q66" s="42" t="s">
        <v>306</v>
      </c>
      <c r="R66" s="40" t="s">
        <v>307</v>
      </c>
      <c r="S66" s="40" t="s">
        <v>23</v>
      </c>
      <c r="T66" s="42" t="s">
        <v>24</v>
      </c>
      <c r="U66" s="54"/>
    </row>
    <row r="67" spans="1:21" s="57" customFormat="1" ht="15" customHeight="1" x14ac:dyDescent="0.35">
      <c r="A67" s="56"/>
      <c r="G67" s="56"/>
      <c r="H67" s="58">
        <v>2</v>
      </c>
      <c r="I67" s="59" t="s">
        <v>290</v>
      </c>
      <c r="J67" s="59" t="s">
        <v>291</v>
      </c>
      <c r="K67" s="59" t="s">
        <v>292</v>
      </c>
      <c r="L67" s="60">
        <v>9519683571</v>
      </c>
      <c r="M67" s="61" t="s">
        <v>293</v>
      </c>
      <c r="N67" s="59" t="s">
        <v>294</v>
      </c>
      <c r="O67" s="59" t="s">
        <v>19</v>
      </c>
      <c r="P67" s="62">
        <v>0.2</v>
      </c>
      <c r="Q67" s="63" t="s">
        <v>308</v>
      </c>
      <c r="R67" s="64" t="s">
        <v>309</v>
      </c>
      <c r="S67" s="64" t="s">
        <v>23</v>
      </c>
      <c r="T67" s="65" t="s">
        <v>24</v>
      </c>
      <c r="U67" s="66"/>
    </row>
    <row r="68" spans="1:21" ht="15" customHeight="1" x14ac:dyDescent="0.35">
      <c r="H68" s="49">
        <v>3</v>
      </c>
      <c r="I68" s="50" t="s">
        <v>13</v>
      </c>
      <c r="J68" s="50" t="s">
        <v>295</v>
      </c>
      <c r="K68" s="50" t="s">
        <v>296</v>
      </c>
      <c r="L68" s="51">
        <v>9152003027</v>
      </c>
      <c r="M68" s="52" t="s">
        <v>297</v>
      </c>
      <c r="N68" s="50" t="s">
        <v>298</v>
      </c>
      <c r="O68" s="50" t="s">
        <v>19</v>
      </c>
      <c r="P68" s="55">
        <v>0.2</v>
      </c>
      <c r="Q68" s="41" t="s">
        <v>310</v>
      </c>
      <c r="R68" s="40" t="s">
        <v>311</v>
      </c>
      <c r="S68" s="40" t="s">
        <v>23</v>
      </c>
      <c r="T68" s="42" t="s">
        <v>24</v>
      </c>
      <c r="U68" s="54"/>
    </row>
    <row r="69" spans="1:21" ht="15" customHeight="1" x14ac:dyDescent="0.35">
      <c r="H69" s="49">
        <v>4</v>
      </c>
      <c r="I69" s="50" t="s">
        <v>13</v>
      </c>
      <c r="J69" s="50" t="s">
        <v>299</v>
      </c>
      <c r="K69" s="50" t="s">
        <v>300</v>
      </c>
      <c r="L69" s="51">
        <v>8127303030</v>
      </c>
      <c r="M69" s="52" t="s">
        <v>301</v>
      </c>
      <c r="N69" s="50" t="s">
        <v>298</v>
      </c>
      <c r="O69" s="50" t="s">
        <v>19</v>
      </c>
      <c r="P69" s="55">
        <v>0.2</v>
      </c>
      <c r="Q69" s="41" t="s">
        <v>312</v>
      </c>
      <c r="R69" s="40" t="s">
        <v>313</v>
      </c>
      <c r="S69" s="40" t="s">
        <v>23</v>
      </c>
      <c r="T69" s="42" t="s">
        <v>24</v>
      </c>
      <c r="U69" s="54"/>
    </row>
  </sheetData>
  <autoFilter ref="A1:P41"/>
  <mergeCells count="1">
    <mergeCell ref="A41:C41"/>
  </mergeCells>
  <hyperlinks>
    <hyperlink ref="F31" r:id="rId1" display="mailto:kapila.physics@gmail.com"/>
    <hyperlink ref="J31" r:id="rId2"/>
    <hyperlink ref="M31" r:id="rId3"/>
    <hyperlink ref="F32" r:id="rId4" display="mailto:anmolagarwal386@gmail.com"/>
    <hyperlink ref="J32" r:id="rId5"/>
    <hyperlink ref="M32" r:id="rId6"/>
    <hyperlink ref="F33" r:id="rId7" display="mailto:frenzetglobal@gmail.com"/>
    <hyperlink ref="J33" r:id="rId8"/>
    <hyperlink ref="M33" r:id="rId9"/>
    <hyperlink ref="F34" r:id="rId10" display="mailto:collegejankari@gmail.com"/>
    <hyperlink ref="J34" r:id="rId11"/>
    <hyperlink ref="M34" r:id="rId12"/>
    <hyperlink ref="F35" r:id="rId13" display="mailto:vivekupadhyayy@gmail.com"/>
    <hyperlink ref="J35" r:id="rId14"/>
    <hyperlink ref="M35" r:id="rId15"/>
    <hyperlink ref="F36" r:id="rId16" display="mailto:travelerbirdkd@gmail.com"/>
    <hyperlink ref="J36" r:id="rId17"/>
    <hyperlink ref="M36" r:id="rId18"/>
    <hyperlink ref="F37" r:id="rId19" display="mailto:connect@anchaljindal.com"/>
    <hyperlink ref="J37" r:id="rId20"/>
    <hyperlink ref="M37" r:id="rId21"/>
    <hyperlink ref="F38" r:id="rId22" display="mailto:mypalhelpforyou@gmail.com"/>
    <hyperlink ref="J38" r:id="rId23"/>
    <hyperlink ref="M38" r:id="rId24"/>
    <hyperlink ref="F39" r:id="rId25" display="mailto:anshul.phy.iitg@gmail.com"/>
    <hyperlink ref="J39" r:id="rId26"/>
    <hyperlink ref="M39" r:id="rId27"/>
    <hyperlink ref="F40" r:id="rId28" display="mailto:namastebareilly@gmail.com"/>
    <hyperlink ref="J40" r:id="rId29"/>
    <hyperlink ref="M40" r:id="rId30"/>
    <hyperlink ref="J4" r:id="rId31"/>
    <hyperlink ref="M66" r:id="rId32" display="mailto:alisha@careermantraedu.in"/>
    <hyperlink ref="Q66" r:id="rId33"/>
    <hyperlink ref="T66" r:id="rId34"/>
    <hyperlink ref="M67" r:id="rId35" display="mailto:shuklasoni2525@gmail.com"/>
    <hyperlink ref="Q67" r:id="rId36"/>
    <hyperlink ref="T67" r:id="rId37"/>
    <hyperlink ref="M68" r:id="rId38" display="mailto:hershu0000@gmail.com"/>
    <hyperlink ref="Q68" r:id="rId39"/>
    <hyperlink ref="T68" r:id="rId40"/>
    <hyperlink ref="M69" r:id="rId41" display="mailto:rachana.pandey115@gmail.com"/>
    <hyperlink ref="Q69" r:id="rId42"/>
    <hyperlink ref="T69" r:id="rId43"/>
  </hyperlinks>
  <pageMargins left="0.75" right="0.75" top="1" bottom="1" header="0.5" footer="0.5"/>
  <pageSetup orientation="portrait" horizontalDpi="203" verticalDpi="203" r:id="rId44"/>
  <drawing r:id="rId4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4:R9"/>
  <sheetViews>
    <sheetView workbookViewId="0">
      <selection activeCell="F4" sqref="F4"/>
    </sheetView>
  </sheetViews>
  <sheetFormatPr defaultRowHeight="14.5" x14ac:dyDescent="0.35"/>
  <sheetData>
    <row r="4" spans="5:18" ht="62" x14ac:dyDescent="0.35">
      <c r="E4" s="4">
        <v>29</v>
      </c>
      <c r="F4" s="5" t="s">
        <v>91</v>
      </c>
      <c r="G4" s="5" t="s">
        <v>213</v>
      </c>
      <c r="H4" s="5" t="s">
        <v>214</v>
      </c>
      <c r="I4" s="5">
        <v>9917080777</v>
      </c>
      <c r="J4" s="6" t="s">
        <v>215</v>
      </c>
      <c r="K4" s="5" t="s">
        <v>216</v>
      </c>
      <c r="L4" s="5" t="s">
        <v>80</v>
      </c>
      <c r="M4" s="7">
        <v>0</v>
      </c>
      <c r="N4" s="6" t="s">
        <v>217</v>
      </c>
      <c r="O4" s="8" t="s">
        <v>218</v>
      </c>
      <c r="P4" s="9" t="s">
        <v>23</v>
      </c>
      <c r="Q4" s="10" t="s">
        <v>24</v>
      </c>
      <c r="R4" s="9" t="s">
        <v>190</v>
      </c>
    </row>
    <row r="5" spans="5:18" ht="62" x14ac:dyDescent="0.35">
      <c r="E5" s="11">
        <v>30</v>
      </c>
      <c r="F5" s="5" t="s">
        <v>13</v>
      </c>
      <c r="G5" s="5" t="s">
        <v>219</v>
      </c>
      <c r="H5" s="5" t="s">
        <v>220</v>
      </c>
      <c r="I5" s="5">
        <v>8285030789</v>
      </c>
      <c r="J5" s="6" t="s">
        <v>221</v>
      </c>
      <c r="K5" s="5" t="s">
        <v>187</v>
      </c>
      <c r="L5" s="5" t="s">
        <v>19</v>
      </c>
      <c r="M5" s="7">
        <v>0.2</v>
      </c>
      <c r="N5" s="6" t="s">
        <v>222</v>
      </c>
      <c r="O5" s="8" t="s">
        <v>223</v>
      </c>
      <c r="P5" s="5" t="s">
        <v>23</v>
      </c>
      <c r="Q5" s="6" t="s">
        <v>24</v>
      </c>
      <c r="R5" s="5" t="s">
        <v>224</v>
      </c>
    </row>
    <row r="6" spans="5:18" ht="62" x14ac:dyDescent="0.35">
      <c r="E6" s="11">
        <v>31</v>
      </c>
      <c r="F6" s="5" t="s">
        <v>91</v>
      </c>
      <c r="G6" s="5" t="s">
        <v>225</v>
      </c>
      <c r="H6" s="5" t="s">
        <v>226</v>
      </c>
      <c r="I6" s="5">
        <v>9136576704</v>
      </c>
      <c r="J6" s="6" t="s">
        <v>227</v>
      </c>
      <c r="K6" s="5" t="s">
        <v>228</v>
      </c>
      <c r="L6" s="5" t="s">
        <v>19</v>
      </c>
      <c r="M6" s="7">
        <v>0</v>
      </c>
      <c r="N6" s="6" t="s">
        <v>229</v>
      </c>
      <c r="O6" s="8" t="s">
        <v>230</v>
      </c>
      <c r="P6" s="5" t="s">
        <v>23</v>
      </c>
      <c r="Q6" s="6" t="s">
        <v>24</v>
      </c>
      <c r="R6" s="5" t="s">
        <v>190</v>
      </c>
    </row>
    <row r="7" spans="5:18" ht="58" x14ac:dyDescent="0.35">
      <c r="E7" s="11">
        <v>32</v>
      </c>
      <c r="F7" s="5" t="s">
        <v>91</v>
      </c>
      <c r="G7" s="5" t="s">
        <v>231</v>
      </c>
      <c r="H7" s="5" t="s">
        <v>232</v>
      </c>
      <c r="I7" s="5">
        <v>7060732951</v>
      </c>
      <c r="J7" s="6" t="s">
        <v>233</v>
      </c>
      <c r="K7" s="5" t="s">
        <v>88</v>
      </c>
      <c r="L7" s="5" t="s">
        <v>80</v>
      </c>
      <c r="M7" s="7">
        <v>0</v>
      </c>
      <c r="N7" s="6" t="s">
        <v>234</v>
      </c>
      <c r="O7" s="8" t="s">
        <v>235</v>
      </c>
      <c r="P7" s="5" t="s">
        <v>23</v>
      </c>
      <c r="Q7" s="6" t="s">
        <v>24</v>
      </c>
      <c r="R7" s="5" t="s">
        <v>236</v>
      </c>
    </row>
    <row r="8" spans="5:18" ht="46.5" x14ac:dyDescent="0.35">
      <c r="E8" s="12">
        <v>33</v>
      </c>
      <c r="F8" s="13" t="s">
        <v>91</v>
      </c>
      <c r="G8" s="13" t="s">
        <v>237</v>
      </c>
      <c r="H8" s="13" t="s">
        <v>238</v>
      </c>
      <c r="I8" s="13">
        <v>9711076986</v>
      </c>
      <c r="J8" s="14" t="s">
        <v>239</v>
      </c>
      <c r="K8" s="13" t="s">
        <v>207</v>
      </c>
      <c r="L8" s="13" t="s">
        <v>19</v>
      </c>
      <c r="M8" s="15">
        <v>0</v>
      </c>
      <c r="N8" s="16"/>
      <c r="O8" s="16"/>
      <c r="P8" s="17"/>
      <c r="Q8" s="18"/>
      <c r="R8" s="13" t="s">
        <v>236</v>
      </c>
    </row>
    <row r="9" spans="5:18" ht="58" x14ac:dyDescent="0.35">
      <c r="E9" s="11">
        <v>34</v>
      </c>
      <c r="F9" s="5" t="s">
        <v>13</v>
      </c>
      <c r="G9" s="5" t="s">
        <v>240</v>
      </c>
      <c r="H9" s="5" t="s">
        <v>241</v>
      </c>
      <c r="I9" s="5">
        <v>9897991528</v>
      </c>
      <c r="J9" s="6" t="s">
        <v>242</v>
      </c>
      <c r="K9" s="5" t="s">
        <v>18</v>
      </c>
      <c r="L9" s="5" t="s">
        <v>19</v>
      </c>
      <c r="M9" s="7">
        <v>0.2</v>
      </c>
      <c r="N9" s="6" t="s">
        <v>243</v>
      </c>
      <c r="O9" s="8" t="s">
        <v>244</v>
      </c>
      <c r="P9" s="5" t="s">
        <v>23</v>
      </c>
      <c r="Q9" s="6" t="s">
        <v>24</v>
      </c>
      <c r="R9" s="5" t="s">
        <v>170</v>
      </c>
    </row>
  </sheetData>
  <hyperlinks>
    <hyperlink ref="J4" r:id="rId1" display="mailto:kapila.physics@gmail.com"/>
    <hyperlink ref="N4" r:id="rId2"/>
    <hyperlink ref="Q4" r:id="rId3"/>
    <hyperlink ref="J5" r:id="rId4" display="mailto:anmolagarwal386@gmail.com"/>
    <hyperlink ref="N5" r:id="rId5"/>
    <hyperlink ref="Q5" r:id="rId6"/>
    <hyperlink ref="J6" r:id="rId7" display="mailto:frenzetglobal@gmail.com"/>
    <hyperlink ref="N6" r:id="rId8"/>
    <hyperlink ref="Q6" r:id="rId9"/>
    <hyperlink ref="J7" r:id="rId10" display="mailto:collegejankari@gmail.com"/>
    <hyperlink ref="N7" r:id="rId11"/>
    <hyperlink ref="Q7" r:id="rId12"/>
    <hyperlink ref="J8" r:id="rId13" display="mailto:Shikshanerd@gmail.com"/>
    <hyperlink ref="J9" r:id="rId14" display="mailto:vivekupadhyayy@gmail.com"/>
    <hyperlink ref="N9" r:id="rId15"/>
    <hyperlink ref="Q9" r:id="rId16"/>
  </hyperlinks>
  <pageMargins left="0.7" right="0.7" top="0.75" bottom="0.75" header="0.3" footer="0.3"/>
  <pageSetup orientation="portrait"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Sheet3</vt:lpstr>
      <vt:lpstr>Partner 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GLA</cp:lastModifiedBy>
  <dcterms:created xsi:type="dcterms:W3CDTF">2026-04-03T06:48:46Z</dcterms:created>
  <dcterms:modified xsi:type="dcterms:W3CDTF">2026-04-20T11:59:35Z</dcterms:modified>
</cp:coreProperties>
</file>